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f1e20ec4845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hors" sheetId="1" r:id="R6e983ff0e7004606"/>
    <x:sheet xmlns:r="http://schemas.openxmlformats.org/officeDocument/2006/relationships" name="Summary" sheetId="2" r:id="Rfbd43e96155c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16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8"/>
      <x:color rgb="FFFFFFFF"/>
      <x:name val="Aptos Display"/>
    </x:font>
    <x:font>
      <x:i/>
      <x:sz val="11"/>
      <x:color rgb="FF334155"/>
      <x:name val="Carlito"/>
    </x:font>
    <x:font>
      <x:sz val="11"/>
      <x:color rgb="FF1F2937"/>
      <x:name val="Aptos"/>
    </x:font>
    <x:font>
      <x:b/>
      <x:sz val="11"/>
      <x:color rgb="FFFFFFFF"/>
      <x:name val="Aptos"/>
    </x:font>
    <x:font>
      <x:b/>
      <x:sz val="11"/>
      <x:color rgb="FF17365D"/>
      <x:name val="Aptos"/>
    </x:font>
    <x:font>
      <x:b/>
      <x:sz val="11"/>
      <x:color rgb="FFFFFFFF"/>
      <x:name val="Carlito"/>
    </x:font>
    <x:font>
      <x:sz val="11"/>
      <x:color rgb="FF7C2D12"/>
      <x:name val="Carlito"/>
    </x:font>
    <x:font>
      <x:sz val="11"/>
      <x:color rgb="FF334155"/>
      <x:name val="Carlito"/>
    </x:font>
    <x:font>
      <x:b/>
      <x:sz val="18"/>
      <x:color rgb="FFFFFFFF"/>
      <x:name val="Aptos"/>
    </x:font>
    <x:font>
      <x:i/>
      <x:sz val="11"/>
      <x:color rgb="FF334155"/>
      <x:name val="Aptos"/>
    </x:font>
    <x:font>
      <x:sz val="11"/>
      <x:name val="Aptos"/>
    </x:font>
    <x:font>
      <x:sz val="11"/>
      <x:color rgb="FF7C2D12"/>
      <x:name val="Aptos"/>
    </x:font>
    <x:font>
      <x:sz val="11"/>
      <x:color rgb="FF334155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8"/>
      </x:patternFill>
    </x:fill>
    <x:fill>
      <x:patternFill patternType="solid">
        <x:fgColor rgb="FF2F75B5"/>
      </x:patternFill>
    </x:fill>
    <x:fill>
      <x:patternFill patternType="solid">
        <x:fgColor rgb="FFF8FAFC"/>
      </x:patternFill>
    </x:fill>
    <x:fill>
      <x:patternFill patternType="solid">
        <x:fgColor rgb="FFC65911"/>
      </x:patternFill>
    </x:fill>
    <x:fill>
      <x:patternFill patternType="solid">
        <x:fgColor rgb="FFFFF4E6"/>
      </x:patternFill>
    </x:fill>
    <x:fill>
      <x:patternFill patternType="solid">
        <x:fgColor rgb="FF5B9BD5"/>
      </x:patternFill>
    </x:fill>
    <x:fill>
      <x:patternFill patternType="solid">
        <x:fgColor rgb="FFEFF6FF"/>
      </x:patternFill>
    </x:fill>
  </x:fills>
  <x:borders count="52">
    <x:border/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top style="thin">
        <x:color rgb="FFD7DEE8"/>
      </x:top>
      <x:bottom style="thin">
        <x:color rgb="FF94A3B8"/>
      </x:bottom>
    </x:border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top style="thin">
        <x:color rgb="FFD7DEE8"/>
      </x:top>
      <x:bottom style="thin">
        <x:color rgb="FF94A3B8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</x:border>
    <x:border>
      <x:right style="thin">
        <x:color rgb="FFFDBA74"/>
      </x:right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</x:border>
    <x:border>
      <x:right style="thin">
        <x:color rgb="FFFDBA74"/>
      </x:right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  <x:border>
      <x:left style="thin">
        <x:color rgb="FF93C5FD"/>
      </x:left>
      <x:top style="thin">
        <x:color rgb="FF93C5FD"/>
      </x:top>
    </x:border>
    <x:border>
      <x:top style="thin">
        <x:color rgb="FF93C5FD"/>
      </x:top>
    </x:border>
    <x:border>
      <x:right style="thin">
        <x:color rgb="FF93C5FD"/>
      </x:right>
      <x:top style="thin">
        <x:color rgb="FF93C5FD"/>
      </x:top>
    </x:border>
    <x:border>
      <x:left style="thin">
        <x:color rgb="FF93C5FD"/>
      </x:left>
    </x:border>
    <x:border>
      <x:right style="thin">
        <x:color rgb="FF93C5FD"/>
      </x:right>
    </x:border>
    <x:border>
      <x:left style="thin">
        <x:color rgb="FF93C5FD"/>
      </x:left>
      <x:bottom style="thin">
        <x:color rgb="FF93C5FD"/>
      </x:bottom>
    </x:border>
    <x:border>
      <x:bottom style="thin">
        <x:color rgb="FF93C5FD"/>
      </x:bottom>
    </x:border>
    <x:border>
      <x:right style="thin">
        <x:color rgb="FF93C5FD"/>
      </x:right>
      <x:bottom style="thin">
        <x:color rgb="FF93C5FD"/>
      </x:bottom>
    </x:border>
    <x:border>
      <x:left style="thin">
        <x:color rgb="FF93C5FD"/>
      </x:left>
      <x:top style="thin">
        <x:color rgb="FF93C5FD"/>
      </x:top>
    </x:border>
    <x:border>
      <x:top style="thin">
        <x:color rgb="FF93C5FD"/>
      </x:top>
    </x:border>
    <x:border>
      <x:right style="thin">
        <x:color rgb="FF93C5FD"/>
      </x:right>
      <x:top style="thin">
        <x:color rgb="FF93C5FD"/>
      </x:top>
    </x:border>
    <x:border>
      <x:left style="thin">
        <x:color rgb="FF93C5FD"/>
      </x:left>
    </x:border>
    <x:border>
      <x:right style="thin">
        <x:color rgb="FF93C5FD"/>
      </x:right>
    </x:border>
    <x:border>
      <x:left style="thin">
        <x:color rgb="FF93C5FD"/>
      </x:left>
      <x:bottom style="thin">
        <x:color rgb="FF93C5FD"/>
      </x:bottom>
    </x:border>
    <x:border>
      <x:bottom style="thin">
        <x:color rgb="FF93C5FD"/>
      </x:bottom>
    </x:border>
    <x:border>
      <x:right style="thin">
        <x:color rgb="FF93C5FD"/>
      </x:right>
      <x:bottom style="thin">
        <x:color rgb="FF93C5FD"/>
      </x:bottom>
    </x:border>
  </x:borders>
  <x:cellStyleXfs count="1">
    <x:xf numFmtId="0" fontId="0" fillId="0" borderId="0"/>
  </x:cellStyleXfs>
  <x:cellXfs count="24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/>
    </x:xf>
    <x:xf numFmtId="0" fontId="2" fillId="2" borderId="5" xfId="0" applyNumberFormat="1" applyFont="1" applyFill="1" applyBorder="1" applyAlignment="1">
      <x:alignment vertical="top"/>
    </x:xf>
    <x:xf numFmtId="0" fontId="2" fillId="2" borderId="6" xfId="0" applyNumberFormat="1" applyFont="1" applyFill="1" applyBorder="1" applyAlignment="1">
      <x:alignment vertical="top"/>
    </x:xf>
    <x:xf numFmtId="0" fontId="2" fillId="2" borderId="7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2" fillId="2" borderId="5" xfId="0" applyNumberFormat="1" applyFont="1" applyFill="1" applyBorder="1" applyAlignment="1">
      <x:alignment horizontal="center" vertical="top" wrapText="1"/>
    </x:xf>
    <x:xf numFmtId="0" fontId="2" fillId="2" borderId="6" xfId="0" applyNumberFormat="1" applyFont="1" applyFill="1" applyBorder="1" applyAlignment="1">
      <x:alignment horizontal="center" vertical="top" wrapText="1"/>
    </x:xf>
    <x:xf numFmtId="0" fontId="2" fillId="2" borderId="7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0"/>
    </x:xf>
    <x:xf numFmtId="200" fontId="1" fillId="0" borderId="0" xfId="0" applyNumberFormat="1" applyFont="1" applyFill="1" applyBorder="1" applyAlignment="1">
      <x:alignment vertical="top" wrapText="0"/>
    </x:xf>
    <x:xf numFmtId="200" fontId="1" fillId="0" borderId="1" xfId="0" applyNumberFormat="1" applyFont="1" applyFill="1" applyBorder="1" applyAlignment="1">
      <x:alignment vertical="top" wrapText="0"/>
    </x:xf>
    <x:xf numFmtId="201" fontId="1" fillId="0" borderId="0" xfId="0" applyNumberFormat="1" applyFont="1" applyFill="1" applyBorder="1" applyAlignment="1">
      <x:alignment vertical="top" wrapText="0"/>
    </x:xf>
    <x:xf numFmtId="201" fontId="1" fillId="0" borderId="1" xfId="0" applyNumberFormat="1" applyFont="1" applyFill="1" applyBorder="1" applyAlignment="1">
      <x:alignment vertical="top" wrapText="0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top" wrapText="0"/>
    </x:xf>
    <x:xf numFmtId="200" fontId="1" fillId="0" borderId="9" xfId="0" applyNumberFormat="1" applyFont="1" applyFill="1" applyBorder="1" applyAlignment="1">
      <x:alignment vertical="top" wrapText="0"/>
    </x:xf>
    <x:xf numFmtId="201" fontId="1" fillId="0" borderId="9" xfId="0" applyNumberFormat="1" applyFont="1" applyFill="1" applyBorder="1" applyAlignment="1">
      <x:alignment vertical="top" wrapText="0"/>
    </x:xf>
    <x:xf numFmtId="0" fontId="1" fillId="0" borderId="10" xfId="0" applyNumberFormat="1" applyFont="1" applyFill="1" applyBorder="1" applyAlignment="1">
      <x:alignment vertical="top" wrapText="0"/>
    </x:xf>
    <x:xf numFmtId="200" fontId="1" fillId="0" borderId="10" xfId="0" applyNumberFormat="1" applyFont="1" applyFill="1" applyBorder="1" applyAlignment="1">
      <x:alignment vertical="top" wrapText="0"/>
    </x:xf>
    <x:xf numFmtId="201" fontId="1" fillId="0" borderId="10" xfId="0" applyNumberFormat="1" applyFont="1" applyFill="1" applyBorder="1" applyAlignment="1">
      <x:alignment vertical="top" wrapText="0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1" fillId="0" borderId="12" xfId="0" applyNumberFormat="1" applyFont="1" applyFill="1" applyBorder="1" applyAlignment="1">
      <x:alignment vertical="top" wrapText="0"/>
    </x:xf>
    <x:xf numFmtId="200" fontId="1" fillId="0" borderId="12" xfId="0" applyNumberFormat="1" applyFont="1" applyFill="1" applyBorder="1" applyAlignment="1">
      <x:alignment vertical="top" wrapText="0"/>
    </x:xf>
    <x:xf numFmtId="201" fontId="1" fillId="0" borderId="12" xfId="0" applyNumberFormat="1" applyFont="1" applyFill="1" applyBorder="1" applyAlignment="1">
      <x:alignment vertical="top" wrapText="0"/>
    </x:xf>
    <x:xf numFmtId="0" fontId="1" fillId="0" borderId="13" xfId="0" applyNumberFormat="1" applyFont="1" applyFill="1" applyBorder="1" applyAlignment="1">
      <x:alignment vertical="top" wrapText="0"/>
    </x:xf>
    <x:xf numFmtId="200" fontId="1" fillId="0" borderId="13" xfId="0" applyNumberFormat="1" applyFont="1" applyFill="1" applyBorder="1" applyAlignment="1">
      <x:alignment vertical="top" wrapText="0"/>
    </x:xf>
    <x:xf numFmtId="201" fontId="1" fillId="0" borderId="13" xfId="0" applyNumberFormat="1" applyFont="1" applyFill="1" applyBorder="1" applyAlignment="1">
      <x:alignment vertical="top" wrapText="0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0" fontId="5" fillId="4" borderId="14" xfId="0" applyNumberFormat="1" applyFont="1" applyFill="1" applyBorder="1"/>
    <x:xf numFmtId="0" fontId="5" fillId="4" borderId="17" xfId="0" applyNumberFormat="1" applyFont="1" applyFill="1" applyBorder="1"/>
    <x:xf numFmtId="0" fontId="6" fillId="4" borderId="14" xfId="0" applyNumberFormat="1" applyFont="1" applyFill="1" applyBorder="1"/>
    <x:xf numFmtId="0" fontId="6" fillId="4" borderId="17" xfId="0" applyNumberFormat="1" applyFont="1" applyFill="1" applyBorder="1"/>
    <x:xf numFmtId="0" fontId="5" fillId="5" borderId="15" xfId="0" applyNumberFormat="1" applyFont="1" applyFill="1" applyBorder="1"/>
    <x:xf numFmtId="0" fontId="5" fillId="5" borderId="16" xfId="0" applyNumberFormat="1" applyFont="1" applyFill="1" applyBorder="1"/>
    <x:xf numFmtId="0" fontId="5" fillId="5" borderId="18" xfId="0" applyNumberFormat="1" applyFont="1" applyFill="1" applyBorder="1"/>
    <x:xf numFmtId="0" fontId="5" fillId="5" borderId="19" xfId="0" applyNumberFormat="1" applyFont="1" applyFill="1" applyBorder="1"/>
    <x:xf numFmtId="0" fontId="7" fillId="5" borderId="15" xfId="0" applyNumberFormat="1" applyFont="1" applyFill="1" applyBorder="1"/>
    <x:xf numFmtId="0" fontId="7" fillId="5" borderId="16" xfId="0" applyNumberFormat="1" applyFont="1" applyFill="1" applyBorder="1"/>
    <x:xf numFmtId="0" fontId="7" fillId="5" borderId="18" xfId="0" applyNumberFormat="1" applyFont="1" applyFill="1" applyBorder="1"/>
    <x:xf numFmtId="0" fontId="7" fillId="5" borderId="19" xfId="0" applyNumberFormat="1" applyFont="1" applyFill="1" applyBorder="1"/>
    <x:xf numFmtId="201" fontId="7" fillId="5" borderId="15" xfId="0" applyNumberFormat="1" applyFont="1" applyFill="1" applyBorder="1"/>
    <x:xf numFmtId="201" fontId="7" fillId="5" borderId="16" xfId="0" applyNumberFormat="1" applyFont="1" applyFill="1" applyBorder="1"/>
    <x:xf numFmtId="201" fontId="7" fillId="5" borderId="18" xfId="0" applyNumberFormat="1" applyFont="1" applyFill="1" applyBorder="1"/>
    <x:xf numFmtId="201" fontId="7" fillId="5" borderId="19" xfId="0" applyNumberFormat="1" applyFont="1" applyFill="1" applyBorder="1"/>
    <x:xf numFmtId="201" fontId="7" fillId="5" borderId="15" xfId="0" applyNumberFormat="1" applyFont="1" applyFill="1" applyBorder="1" applyAlignment="1">
      <x:alignment horizontal="right"/>
    </x:xf>
    <x:xf numFmtId="201" fontId="7" fillId="5" borderId="16" xfId="0" applyNumberFormat="1" applyFont="1" applyFill="1" applyBorder="1" applyAlignment="1">
      <x:alignment horizontal="right"/>
    </x:xf>
    <x:xf numFmtId="201" fontId="7" fillId="5" borderId="18" xfId="0" applyNumberFormat="1" applyFont="1" applyFill="1" applyBorder="1" applyAlignment="1">
      <x:alignment horizontal="right"/>
    </x:xf>
    <x:xf numFmtId="201" fontId="7" fillId="5" borderId="19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9" fillId="7" borderId="0" xfId="0" applyNumberFormat="1" applyFont="1" applyFill="1" applyBorder="1"/>
    <x:xf numFmtId="0" fontId="9" fillId="7" borderId="1" xfId="0" applyNumberFormat="1" applyFont="1" applyFill="1" applyBorder="1"/>
    <x:xf numFmtId="0" fontId="9" fillId="7" borderId="20" xfId="0" applyNumberFormat="1" applyFont="1" applyFill="1" applyBorder="1"/>
    <x:xf numFmtId="0" fontId="9" fillId="7" borderId="21" xfId="0" applyNumberFormat="1" applyFont="1" applyFill="1" applyBorder="1"/>
    <x:xf numFmtId="0" fontId="9" fillId="7" borderId="22" xfId="0" applyNumberFormat="1" applyFont="1" applyFill="1" applyBorder="1"/>
    <x:xf numFmtId="0" fontId="9" fillId="7" borderId="23" xfId="0" applyNumberFormat="1" applyFont="1" applyFill="1" applyBorder="1"/>
    <x:xf numFmtId="0" fontId="9" fillId="7" borderId="24" xfId="0" applyNumberFormat="1" applyFont="1" applyFill="1" applyBorder="1"/>
    <x:xf numFmtId="0" fontId="9" fillId="7" borderId="25" xfId="0" applyNumberFormat="1" applyFont="1" applyFill="1" applyBorder="1"/>
    <x:xf numFmtId="0" fontId="9" fillId="7" borderId="26" xfId="0" applyNumberFormat="1" applyFont="1" applyFill="1" applyBorder="1"/>
    <x:xf numFmtId="0" fontId="9" fillId="7" borderId="27" xfId="0" applyNumberFormat="1" applyFont="1" applyFill="1" applyBorder="1"/>
    <x:xf numFmtId="0" fontId="9" fillId="7" borderId="28" xfId="0" applyNumberFormat="1" applyFont="1" applyFill="1" applyBorder="1"/>
    <x:xf numFmtId="0" fontId="9" fillId="7" borderId="29" xfId="0" applyNumberFormat="1" applyFont="1" applyFill="1" applyBorder="1"/>
    <x:xf numFmtId="0" fontId="9" fillId="7" borderId="30" xfId="0" applyNumberFormat="1" applyFont="1" applyFill="1" applyBorder="1"/>
    <x:xf numFmtId="0" fontId="9" fillId="7" borderId="31" xfId="0" applyNumberFormat="1" applyFont="1" applyFill="1" applyBorder="1"/>
    <x:xf numFmtId="0" fontId="9" fillId="7" borderId="32" xfId="0" applyNumberFormat="1" applyFont="1" applyFill="1" applyBorder="1"/>
    <x:xf numFmtId="0" fontId="9" fillId="7" borderId="33" xfId="0" applyNumberFormat="1" applyFont="1" applyFill="1" applyBorder="1"/>
    <x:xf numFmtId="0" fontId="9" fillId="7" borderId="34" xfId="0" applyNumberFormat="1" applyFont="1" applyFill="1" applyBorder="1"/>
    <x:xf numFmtId="0" fontId="9" fillId="7" borderId="35" xfId="0" applyNumberFormat="1" applyFont="1" applyFill="1" applyBorder="1"/>
    <x:xf numFmtId="0" fontId="9" fillId="7" borderId="20" xfId="0" applyNumberFormat="1" applyFont="1" applyFill="1" applyBorder="1" applyAlignment="1">
      <x:alignment wrapText="1"/>
    </x:xf>
    <x:xf numFmtId="0" fontId="9" fillId="7" borderId="21" xfId="0" applyNumberFormat="1" applyFont="1" applyFill="1" applyBorder="1" applyAlignment="1">
      <x:alignment wrapText="1"/>
    </x:xf>
    <x:xf numFmtId="0" fontId="9" fillId="7" borderId="22" xfId="0" applyNumberFormat="1" applyFont="1" applyFill="1" applyBorder="1" applyAlignment="1">
      <x:alignment wrapText="1"/>
    </x:xf>
    <x:xf numFmtId="0" fontId="9" fillId="7" borderId="23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9" fillId="7" borderId="24" xfId="0" applyNumberFormat="1" applyFont="1" applyFill="1" applyBorder="1" applyAlignment="1">
      <x:alignment wrapText="1"/>
    </x:xf>
    <x:xf numFmtId="0" fontId="9" fillId="7" borderId="25" xfId="0" applyNumberFormat="1" applyFont="1" applyFill="1" applyBorder="1" applyAlignment="1">
      <x:alignment wrapText="1"/>
    </x:xf>
    <x:xf numFmtId="0" fontId="9" fillId="7" borderId="26" xfId="0" applyNumberFormat="1" applyFont="1" applyFill="1" applyBorder="1" applyAlignment="1">
      <x:alignment wrapText="1"/>
    </x:xf>
    <x:xf numFmtId="0" fontId="9" fillId="7" borderId="27" xfId="0" applyNumberFormat="1" applyFont="1" applyFill="1" applyBorder="1" applyAlignment="1">
      <x:alignment wrapText="1"/>
    </x:xf>
    <x:xf numFmtId="0" fontId="9" fillId="7" borderId="28" xfId="0" applyNumberFormat="1" applyFont="1" applyFill="1" applyBorder="1" applyAlignment="1">
      <x:alignment wrapText="1"/>
    </x:xf>
    <x:xf numFmtId="0" fontId="9" fillId="7" borderId="29" xfId="0" applyNumberFormat="1" applyFont="1" applyFill="1" applyBorder="1" applyAlignment="1">
      <x:alignment wrapText="1"/>
    </x:xf>
    <x:xf numFmtId="0" fontId="9" fillId="7" borderId="30" xfId="0" applyNumberFormat="1" applyFont="1" applyFill="1" applyBorder="1" applyAlignment="1">
      <x:alignment wrapText="1"/>
    </x:xf>
    <x:xf numFmtId="0" fontId="9" fillId="7" borderId="31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wrapText="1"/>
    </x:xf>
    <x:xf numFmtId="0" fontId="9" fillId="7" borderId="32" xfId="0" applyNumberFormat="1" applyFont="1" applyFill="1" applyBorder="1" applyAlignment="1">
      <x:alignment wrapText="1"/>
    </x:xf>
    <x:xf numFmtId="0" fontId="9" fillId="7" borderId="33" xfId="0" applyNumberFormat="1" applyFont="1" applyFill="1" applyBorder="1" applyAlignment="1">
      <x:alignment wrapText="1"/>
    </x:xf>
    <x:xf numFmtId="0" fontId="9" fillId="7" borderId="34" xfId="0" applyNumberFormat="1" applyFont="1" applyFill="1" applyBorder="1" applyAlignment="1">
      <x:alignment wrapText="1"/>
    </x:xf>
    <x:xf numFmtId="0" fontId="9" fillId="7" borderId="35" xfId="0" applyNumberFormat="1" applyFont="1" applyFill="1" applyBorder="1" applyAlignment="1">
      <x:alignment wrapText="1"/>
    </x:xf>
    <x:xf numFmtId="0" fontId="9" fillId="7" borderId="20" xfId="0" applyNumberFormat="1" applyFont="1" applyFill="1" applyBorder="1" applyAlignment="1">
      <x:alignment vertical="top" wrapText="1"/>
    </x:xf>
    <x:xf numFmtId="0" fontId="9" fillId="7" borderId="21" xfId="0" applyNumberFormat="1" applyFont="1" applyFill="1" applyBorder="1" applyAlignment="1">
      <x:alignment vertical="top" wrapText="1"/>
    </x:xf>
    <x:xf numFmtId="0" fontId="9" fillId="7" borderId="22" xfId="0" applyNumberFormat="1" applyFont="1" applyFill="1" applyBorder="1" applyAlignment="1">
      <x:alignment vertical="top" wrapText="1"/>
    </x:xf>
    <x:xf numFmtId="0" fontId="9" fillId="7" borderId="23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9" fillId="7" borderId="24" xfId="0" applyNumberFormat="1" applyFont="1" applyFill="1" applyBorder="1" applyAlignment="1">
      <x:alignment vertical="top" wrapText="1"/>
    </x:xf>
    <x:xf numFmtId="0" fontId="9" fillId="7" borderId="25" xfId="0" applyNumberFormat="1" applyFont="1" applyFill="1" applyBorder="1" applyAlignment="1">
      <x:alignment vertical="top" wrapText="1"/>
    </x:xf>
    <x:xf numFmtId="0" fontId="9" fillId="7" borderId="26" xfId="0" applyNumberFormat="1" applyFont="1" applyFill="1" applyBorder="1" applyAlignment="1">
      <x:alignment vertical="top" wrapText="1"/>
    </x:xf>
    <x:xf numFmtId="0" fontId="9" fillId="7" borderId="27" xfId="0" applyNumberFormat="1" applyFont="1" applyFill="1" applyBorder="1" applyAlignment="1">
      <x:alignment vertical="top" wrapText="1"/>
    </x:xf>
    <x:xf numFmtId="0" fontId="9" fillId="7" borderId="28" xfId="0" applyNumberFormat="1" applyFont="1" applyFill="1" applyBorder="1" applyAlignment="1">
      <x:alignment vertical="top" wrapText="1"/>
    </x:xf>
    <x:xf numFmtId="0" fontId="9" fillId="7" borderId="29" xfId="0" applyNumberFormat="1" applyFont="1" applyFill="1" applyBorder="1" applyAlignment="1">
      <x:alignment vertical="top" wrapText="1"/>
    </x:xf>
    <x:xf numFmtId="0" fontId="9" fillId="7" borderId="30" xfId="0" applyNumberFormat="1" applyFont="1" applyFill="1" applyBorder="1" applyAlignment="1">
      <x:alignment vertical="top" wrapText="1"/>
    </x:xf>
    <x:xf numFmtId="0" fontId="9" fillId="7" borderId="31" xfId="0" applyNumberFormat="1" applyFont="1" applyFill="1" applyBorder="1" applyAlignment="1">
      <x:alignment vertical="top" wrapText="1"/>
    </x:xf>
    <x:xf numFmtId="0" fontId="9" fillId="7" borderId="1" xfId="0" applyNumberFormat="1" applyFont="1" applyFill="1" applyBorder="1" applyAlignment="1">
      <x:alignment vertical="top" wrapText="1"/>
    </x:xf>
    <x:xf numFmtId="0" fontId="9" fillId="7" borderId="32" xfId="0" applyNumberFormat="1" applyFont="1" applyFill="1" applyBorder="1" applyAlignment="1">
      <x:alignment vertical="top" wrapText="1"/>
    </x:xf>
    <x:xf numFmtId="0" fontId="9" fillId="7" borderId="33" xfId="0" applyNumberFormat="1" applyFont="1" applyFill="1" applyBorder="1" applyAlignment="1">
      <x:alignment vertical="top" wrapText="1"/>
    </x:xf>
    <x:xf numFmtId="0" fontId="9" fillId="7" borderId="34" xfId="0" applyNumberFormat="1" applyFont="1" applyFill="1" applyBorder="1" applyAlignment="1">
      <x:alignment vertical="top" wrapText="1"/>
    </x:xf>
    <x:xf numFmtId="0" fontId="9" fillId="7" borderId="35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8" fillId="8" borderId="0" xfId="0" applyNumberFormat="1" applyFont="1" applyFill="1" applyBorder="1"/>
    <x:xf numFmtId="0" fontId="8" fillId="8" borderId="1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8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10" fillId="9" borderId="0" xfId="0" applyNumberFormat="1" applyFont="1" applyFill="1" applyBorder="1"/>
    <x:xf numFmtId="0" fontId="10" fillId="9" borderId="1" xfId="0" applyNumberFormat="1" applyFont="1" applyFill="1" applyBorder="1"/>
    <x:xf numFmtId="0" fontId="10" fillId="9" borderId="36" xfId="0" applyNumberFormat="1" applyFont="1" applyFill="1" applyBorder="1"/>
    <x:xf numFmtId="0" fontId="10" fillId="9" borderId="37" xfId="0" applyNumberFormat="1" applyFont="1" applyFill="1" applyBorder="1"/>
    <x:xf numFmtId="0" fontId="10" fillId="9" borderId="38" xfId="0" applyNumberFormat="1" applyFont="1" applyFill="1" applyBorder="1"/>
    <x:xf numFmtId="0" fontId="10" fillId="9" borderId="39" xfId="0" applyNumberFormat="1" applyFont="1" applyFill="1" applyBorder="1"/>
    <x:xf numFmtId="0" fontId="10" fillId="9" borderId="40" xfId="0" applyNumberFormat="1" applyFont="1" applyFill="1" applyBorder="1"/>
    <x:xf numFmtId="0" fontId="10" fillId="9" borderId="41" xfId="0" applyNumberFormat="1" applyFont="1" applyFill="1" applyBorder="1"/>
    <x:xf numFmtId="0" fontId="10" fillId="9" borderId="42" xfId="0" applyNumberFormat="1" applyFont="1" applyFill="1" applyBorder="1"/>
    <x:xf numFmtId="0" fontId="10" fillId="9" borderId="43" xfId="0" applyNumberFormat="1" applyFont="1" applyFill="1" applyBorder="1"/>
    <x:xf numFmtId="0" fontId="10" fillId="9" borderId="44" xfId="0" applyNumberFormat="1" applyFont="1" applyFill="1" applyBorder="1"/>
    <x:xf numFmtId="0" fontId="10" fillId="9" borderId="45" xfId="0" applyNumberFormat="1" applyFont="1" applyFill="1" applyBorder="1"/>
    <x:xf numFmtId="0" fontId="10" fillId="9" borderId="46" xfId="0" applyNumberFormat="1" applyFont="1" applyFill="1" applyBorder="1"/>
    <x:xf numFmtId="0" fontId="10" fillId="9" borderId="47" xfId="0" applyNumberFormat="1" applyFont="1" applyFill="1" applyBorder="1"/>
    <x:xf numFmtId="0" fontId="10" fillId="9" borderId="48" xfId="0" applyNumberFormat="1" applyFont="1" applyFill="1" applyBorder="1"/>
    <x:xf numFmtId="0" fontId="10" fillId="9" borderId="49" xfId="0" applyNumberFormat="1" applyFont="1" applyFill="1" applyBorder="1"/>
    <x:xf numFmtId="0" fontId="10" fillId="9" borderId="50" xfId="0" applyNumberFormat="1" applyFont="1" applyFill="1" applyBorder="1"/>
    <x:xf numFmtId="0" fontId="10" fillId="9" borderId="51" xfId="0" applyNumberFormat="1" applyFont="1" applyFill="1" applyBorder="1"/>
    <x:xf numFmtId="0" fontId="10" fillId="9" borderId="36" xfId="0" applyNumberFormat="1" applyFont="1" applyFill="1" applyBorder="1" applyAlignment="1">
      <x:alignment wrapText="1"/>
    </x:xf>
    <x:xf numFmtId="0" fontId="10" fillId="9" borderId="37" xfId="0" applyNumberFormat="1" applyFont="1" applyFill="1" applyBorder="1" applyAlignment="1">
      <x:alignment wrapText="1"/>
    </x:xf>
    <x:xf numFmtId="0" fontId="10" fillId="9" borderId="38" xfId="0" applyNumberFormat="1" applyFont="1" applyFill="1" applyBorder="1" applyAlignment="1">
      <x:alignment wrapText="1"/>
    </x:xf>
    <x:xf numFmtId="0" fontId="10" fillId="9" borderId="39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wrapText="1"/>
    </x:xf>
    <x:xf numFmtId="0" fontId="10" fillId="9" borderId="40" xfId="0" applyNumberFormat="1" applyFont="1" applyFill="1" applyBorder="1" applyAlignment="1">
      <x:alignment wrapText="1"/>
    </x:xf>
    <x:xf numFmtId="0" fontId="10" fillId="9" borderId="41" xfId="0" applyNumberFormat="1" applyFont="1" applyFill="1" applyBorder="1" applyAlignment="1">
      <x:alignment wrapText="1"/>
    </x:xf>
    <x:xf numFmtId="0" fontId="10" fillId="9" borderId="42" xfId="0" applyNumberFormat="1" applyFont="1" applyFill="1" applyBorder="1" applyAlignment="1">
      <x:alignment wrapText="1"/>
    </x:xf>
    <x:xf numFmtId="0" fontId="10" fillId="9" borderId="43" xfId="0" applyNumberFormat="1" applyFont="1" applyFill="1" applyBorder="1" applyAlignment="1">
      <x:alignment wrapText="1"/>
    </x:xf>
    <x:xf numFmtId="0" fontId="10" fillId="9" borderId="44" xfId="0" applyNumberFormat="1" applyFont="1" applyFill="1" applyBorder="1" applyAlignment="1">
      <x:alignment wrapText="1"/>
    </x:xf>
    <x:xf numFmtId="0" fontId="10" fillId="9" borderId="45" xfId="0" applyNumberFormat="1" applyFont="1" applyFill="1" applyBorder="1" applyAlignment="1">
      <x:alignment wrapText="1"/>
    </x:xf>
    <x:xf numFmtId="0" fontId="10" fillId="9" borderId="46" xfId="0" applyNumberFormat="1" applyFont="1" applyFill="1" applyBorder="1" applyAlignment="1">
      <x:alignment wrapText="1"/>
    </x:xf>
    <x:xf numFmtId="0" fontId="10" fillId="9" borderId="47" xfId="0" applyNumberFormat="1" applyFont="1" applyFill="1" applyBorder="1" applyAlignment="1">
      <x:alignment wrapText="1"/>
    </x:xf>
    <x:xf numFmtId="0" fontId="10" fillId="9" borderId="1" xfId="0" applyNumberFormat="1" applyFont="1" applyFill="1" applyBorder="1" applyAlignment="1">
      <x:alignment wrapText="1"/>
    </x:xf>
    <x:xf numFmtId="0" fontId="10" fillId="9" borderId="48" xfId="0" applyNumberFormat="1" applyFont="1" applyFill="1" applyBorder="1" applyAlignment="1">
      <x:alignment wrapText="1"/>
    </x:xf>
    <x:xf numFmtId="0" fontId="10" fillId="9" borderId="49" xfId="0" applyNumberFormat="1" applyFont="1" applyFill="1" applyBorder="1" applyAlignment="1">
      <x:alignment wrapText="1"/>
    </x:xf>
    <x:xf numFmtId="0" fontId="10" fillId="9" borderId="50" xfId="0" applyNumberFormat="1" applyFont="1" applyFill="1" applyBorder="1" applyAlignment="1">
      <x:alignment wrapText="1"/>
    </x:xf>
    <x:xf numFmtId="0" fontId="10" fillId="9" borderId="51" xfId="0" applyNumberFormat="1" applyFont="1" applyFill="1" applyBorder="1" applyAlignment="1">
      <x:alignment wrapText="1"/>
    </x:xf>
    <x:xf numFmtId="0" fontId="10" fillId="9" borderId="36" xfId="0" applyNumberFormat="1" applyFont="1" applyFill="1" applyBorder="1" applyAlignment="1">
      <x:alignment vertical="top" wrapText="1"/>
    </x:xf>
    <x:xf numFmtId="0" fontId="10" fillId="9" borderId="37" xfId="0" applyNumberFormat="1" applyFont="1" applyFill="1" applyBorder="1" applyAlignment="1">
      <x:alignment vertical="top" wrapText="1"/>
    </x:xf>
    <x:xf numFmtId="0" fontId="10" fillId="9" borderId="38" xfId="0" applyNumberFormat="1" applyFont="1" applyFill="1" applyBorder="1" applyAlignment="1">
      <x:alignment vertical="top" wrapText="1"/>
    </x:xf>
    <x:xf numFmtId="0" fontId="10" fillId="9" borderId="39" xfId="0" applyNumberFormat="1" applyFont="1" applyFill="1" applyBorder="1" applyAlignment="1">
      <x:alignment vertical="top" wrapText="1"/>
    </x:xf>
    <x:xf numFmtId="0" fontId="10" fillId="9" borderId="0" xfId="0" applyNumberFormat="1" applyFont="1" applyFill="1" applyBorder="1" applyAlignment="1">
      <x:alignment vertical="top" wrapText="1"/>
    </x:xf>
    <x:xf numFmtId="0" fontId="10" fillId="9" borderId="40" xfId="0" applyNumberFormat="1" applyFont="1" applyFill="1" applyBorder="1" applyAlignment="1">
      <x:alignment vertical="top" wrapText="1"/>
    </x:xf>
    <x:xf numFmtId="0" fontId="10" fillId="9" borderId="41" xfId="0" applyNumberFormat="1" applyFont="1" applyFill="1" applyBorder="1" applyAlignment="1">
      <x:alignment vertical="top" wrapText="1"/>
    </x:xf>
    <x:xf numFmtId="0" fontId="10" fillId="9" borderId="42" xfId="0" applyNumberFormat="1" applyFont="1" applyFill="1" applyBorder="1" applyAlignment="1">
      <x:alignment vertical="top" wrapText="1"/>
    </x:xf>
    <x:xf numFmtId="0" fontId="10" fillId="9" borderId="43" xfId="0" applyNumberFormat="1" applyFont="1" applyFill="1" applyBorder="1" applyAlignment="1">
      <x:alignment vertical="top" wrapText="1"/>
    </x:xf>
    <x:xf numFmtId="0" fontId="10" fillId="9" borderId="44" xfId="0" applyNumberFormat="1" applyFont="1" applyFill="1" applyBorder="1" applyAlignment="1">
      <x:alignment vertical="top" wrapText="1"/>
    </x:xf>
    <x:xf numFmtId="0" fontId="10" fillId="9" borderId="45" xfId="0" applyNumberFormat="1" applyFont="1" applyFill="1" applyBorder="1" applyAlignment="1">
      <x:alignment vertical="top" wrapText="1"/>
    </x:xf>
    <x:xf numFmtId="0" fontId="10" fillId="9" borderId="46" xfId="0" applyNumberFormat="1" applyFont="1" applyFill="1" applyBorder="1" applyAlignment="1">
      <x:alignment vertical="top" wrapText="1"/>
    </x:xf>
    <x:xf numFmtId="0" fontId="10" fillId="9" borderId="47" xfId="0" applyNumberFormat="1" applyFont="1" applyFill="1" applyBorder="1" applyAlignment="1">
      <x:alignment vertical="top" wrapText="1"/>
    </x:xf>
    <x:xf numFmtId="0" fontId="10" fillId="9" borderId="1" xfId="0" applyNumberFormat="1" applyFont="1" applyFill="1" applyBorder="1" applyAlignment="1">
      <x:alignment vertical="top" wrapText="1"/>
    </x:xf>
    <x:xf numFmtId="0" fontId="10" fillId="9" borderId="48" xfId="0" applyNumberFormat="1" applyFont="1" applyFill="1" applyBorder="1" applyAlignment="1">
      <x:alignment vertical="top" wrapText="1"/>
    </x:xf>
    <x:xf numFmtId="0" fontId="10" fillId="9" borderId="49" xfId="0" applyNumberFormat="1" applyFont="1" applyFill="1" applyBorder="1" applyAlignment="1">
      <x:alignment vertical="top" wrapText="1"/>
    </x:xf>
    <x:xf numFmtId="0" fontId="10" fillId="9" borderId="50" xfId="0" applyNumberFormat="1" applyFont="1" applyFill="1" applyBorder="1" applyAlignment="1">
      <x:alignment vertical="top" wrapText="1"/>
    </x:xf>
    <x:xf numFmtId="0" fontId="10" fillId="9" borderId="51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12" fillId="3" borderId="0" xfId="0" applyNumberFormat="1" applyFont="1" applyFill="1" applyBorder="1"/>
    <x:xf numFmtId="0" fontId="13" fillId="0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14" fillId="7" borderId="20" xfId="0" applyNumberFormat="1" applyFont="1" applyFill="1" applyBorder="1" applyAlignment="1">
      <x:alignment vertical="top" wrapText="1"/>
    </x:xf>
    <x:xf numFmtId="0" fontId="14" fillId="7" borderId="21" xfId="0" applyNumberFormat="1" applyFont="1" applyFill="1" applyBorder="1" applyAlignment="1">
      <x:alignment vertical="top" wrapText="1"/>
    </x:xf>
    <x:xf numFmtId="0" fontId="14" fillId="7" borderId="22" xfId="0" applyNumberFormat="1" applyFont="1" applyFill="1" applyBorder="1" applyAlignment="1">
      <x:alignment vertical="top" wrapText="1"/>
    </x:xf>
    <x:xf numFmtId="0" fontId="14" fillId="7" borderId="23" xfId="0" applyNumberFormat="1" applyFont="1" applyFill="1" applyBorder="1" applyAlignment="1">
      <x:alignment vertical="top"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4" xfId="0" applyNumberFormat="1" applyFont="1" applyFill="1" applyBorder="1" applyAlignment="1">
      <x:alignment vertical="top" wrapText="1"/>
    </x:xf>
    <x:xf numFmtId="0" fontId="14" fillId="7" borderId="25" xfId="0" applyNumberFormat="1" applyFont="1" applyFill="1" applyBorder="1" applyAlignment="1">
      <x:alignment vertical="top" wrapText="1"/>
    </x:xf>
    <x:xf numFmtId="0" fontId="14" fillId="7" borderId="26" xfId="0" applyNumberFormat="1" applyFont="1" applyFill="1" applyBorder="1" applyAlignment="1">
      <x:alignment vertical="top" wrapText="1"/>
    </x:xf>
    <x:xf numFmtId="0" fontId="14" fillId="7" borderId="27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horizontal="center"/>
    </x:xf>
    <x:xf numFmtId="0" fontId="15" fillId="9" borderId="36" xfId="0" applyNumberFormat="1" applyFont="1" applyFill="1" applyBorder="1" applyAlignment="1">
      <x:alignment vertical="top" wrapText="1"/>
    </x:xf>
    <x:xf numFmtId="0" fontId="15" fillId="9" borderId="37" xfId="0" applyNumberFormat="1" applyFont="1" applyFill="1" applyBorder="1" applyAlignment="1">
      <x:alignment vertical="top" wrapText="1"/>
    </x:xf>
    <x:xf numFmtId="0" fontId="15" fillId="9" borderId="38" xfId="0" applyNumberFormat="1" applyFont="1" applyFill="1" applyBorder="1" applyAlignment="1">
      <x:alignment vertical="top" wrapText="1"/>
    </x:xf>
    <x:xf numFmtId="0" fontId="15" fillId="9" borderId="39" xfId="0" applyNumberFormat="1" applyFont="1" applyFill="1" applyBorder="1" applyAlignment="1">
      <x:alignment vertical="top" wrapText="1"/>
    </x:xf>
    <x:xf numFmtId="0" fontId="15" fillId="9" borderId="0" xfId="0" applyNumberFormat="1" applyFont="1" applyFill="1" applyBorder="1" applyAlignment="1">
      <x:alignment vertical="top" wrapText="1"/>
    </x:xf>
    <x:xf numFmtId="0" fontId="15" fillId="9" borderId="40" xfId="0" applyNumberFormat="1" applyFont="1" applyFill="1" applyBorder="1" applyAlignment="1">
      <x:alignment vertical="top" wrapText="1"/>
    </x:xf>
    <x:xf numFmtId="0" fontId="15" fillId="9" borderId="41" xfId="0" applyNumberFormat="1" applyFont="1" applyFill="1" applyBorder="1" applyAlignment="1">
      <x:alignment vertical="top" wrapText="1"/>
    </x:xf>
    <x:xf numFmtId="0" fontId="15" fillId="9" borderId="42" xfId="0" applyNumberFormat="1" applyFont="1" applyFill="1" applyBorder="1" applyAlignment="1">
      <x:alignment vertical="top" wrapText="1"/>
    </x:xf>
    <x:xf numFmtId="0" fontId="15" fillId="9" borderId="4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5da70f24e543ba" /><Relationship Type="http://schemas.openxmlformats.org/officeDocument/2006/relationships/theme" Target="/xl/theme/theme1.xml" Id="R4682b844cb5040fa" /><Relationship Type="http://schemas.openxmlformats.org/officeDocument/2006/relationships/sharedStrings" Target="/xl/sharedStrings.xml" Id="R83ce1a0fb7cd4e8f" /><Relationship Type="http://schemas.openxmlformats.org/officeDocument/2006/relationships/worksheet" Target="/xl/worksheets/sheet1.xml" Id="R6e983ff0e7004606" /><Relationship Type="http://schemas.openxmlformats.org/officeDocument/2006/relationships/worksheet" Target="/xl/worksheets/sheet2.xml" Id="Rfbd43e96155c4513" /></Relationships>
</file>

<file path=xl/tables/table1.xml><?xml version="1.0" encoding="utf-8"?>
<x:table xmlns:x="http://schemas.openxmlformats.org/spreadsheetml/2006/main" id="1" name="AuthorsTable" displayName="AuthorsTable" ref="A1:AB134" headerRowCount="1" totalsRowCount="0" totalsRowShown="0">
  <x:autoFilter ref="A1:AB134"/>
  <x:tableColumns count="28">
    <x:tableColumn id="1" name="﻿author_id"/>
    <x:tableColumn id="2" name="author_name"/>
    <x:tableColumn id="3" name="canonical_name"/>
    <x:tableColumn id="4" name="aliases"/>
    <x:tableColumn id="5" name="status"/>
    <x:tableColumn id="6" name="verification_level"/>
    <x:tableColumn id="7" name="match_confidence"/>
    <x:tableColumn id="8" name="duplicate_of"/>
    <x:tableColumn id="9" name="publication_count"/>
    <x:tableColumn id="10" name="first_publication_year"/>
    <x:tableColumn id="11" name="last_publication_year"/>
    <x:tableColumn id="12" name="role"/>
    <x:tableColumn id="13" name="current_position"/>
    <x:tableColumn id="14" name="affiliation"/>
    <x:tableColumn id="15" name="email"/>
    <x:tableColumn id="16" name="telephone"/>
    <x:tableColumn id="17" name="orcid"/>
    <x:tableColumn id="18" name="google_scholar"/>
    <x:tableColumn id="19" name="openalex"/>
    <x:tableColumn id="20" name="crossref"/>
    <x:tableColumn id="21" name="scopus"/>
    <x:tableColumn id="22" name="web_of_science"/>
    <x:tableColumn id="23" name="institution_page"/>
    <x:tableColumn id="24" name="personal_website"/>
    <x:tableColumn id="25" name="source_urls"/>
    <x:tableColumn id="26" name="remaining_missing_fields"/>
    <x:tableColumn id="27" name="publication_titles"/>
    <x:tableColumn id="28" name="publication_do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09728b180e43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24" hidden="0" customWidth="1"/>
    <x:col min="4" max="4" width="42" hidden="0" customWidth="1"/>
    <x:col min="5" max="5" width="12" hidden="0" customWidth="1"/>
    <x:col min="6" max="6" width="36" hidden="0" customWidth="1"/>
    <x:col min="7" max="7" width="12" hidden="0" customWidth="1"/>
    <x:col min="8" max="8" width="25" hidden="0" customWidth="1"/>
    <x:col min="9" max="9" width="12" hidden="0" customWidth="1"/>
    <x:col min="10" max="10" width="12" hidden="0" customWidth="1"/>
    <x:col min="11" max="11" width="12" hidden="0" customWidth="1"/>
    <x:col min="12" max="12" width="22" hidden="0" customWidth="1"/>
    <x:col min="13" max="13" width="22" hidden="0" customWidth="1"/>
    <x:col min="14" max="14" width="48" hidden="0" customWidth="1"/>
    <x:col min="15" max="15" width="30" hidden="0" customWidth="1"/>
    <x:col min="16" max="16" width="18" hidden="0" customWidth="1"/>
    <x:col min="17" max="17" width="20" hidden="0" customWidth="1"/>
    <x:col min="18" max="18" width="48" hidden="0" customWidth="1"/>
    <x:col min="19" max="19" width="34" hidden="0" customWidth="1"/>
    <x:col min="20" max="20" width="42" hidden="0" customWidth="1"/>
    <x:col min="21" max="21" width="38" hidden="0" customWidth="1"/>
    <x:col min="22" max="22" width="38" hidden="0" customWidth="1"/>
    <x:col min="23" max="23" width="42" hidden="0" customWidth="1"/>
    <x:col min="24" max="24" width="42" hidden="0" customWidth="1"/>
    <x:col min="25" max="25" width="54" hidden="0" customWidth="1"/>
    <x:col min="26" max="26" width="42" hidden="0" customWidth="1"/>
    <x:col min="27" max="27" width="62" hidden="0" customWidth="1"/>
    <x:col min="28" max="28" width="52" hidden="0" customWidth="1"/>
  </x:cols>
  <x:sheetData>
    <x:row r="1" ht="34" customHeight="1">
      <x:c r="A1" s="40" t="str">
        <x:v>﻿author_id</x:v>
      </x:c>
      <x:c r="B1" s="40" t="str">
        <x:v>author_name</x:v>
      </x:c>
      <x:c r="C1" s="40" t="str">
        <x:v>canonical_name</x:v>
      </x:c>
      <x:c r="D1" s="40" t="str">
        <x:v>aliases</x:v>
      </x:c>
      <x:c r="E1" s="40" t="str">
        <x:v>status</x:v>
      </x:c>
      <x:c r="F1" s="40" t="str">
        <x:v>verification_level</x:v>
      </x:c>
      <x:c r="G1" s="40" t="str">
        <x:v>match_confidence</x:v>
      </x:c>
      <x:c r="H1" s="40" t="str">
        <x:v>duplicate_of</x:v>
      </x:c>
      <x:c r="I1" s="40" t="str">
        <x:v>publication_count</x:v>
      </x:c>
      <x:c r="J1" s="40" t="str">
        <x:v>first_publication_year</x:v>
      </x:c>
      <x:c r="K1" s="40" t="str">
        <x:v>last_publication_year</x:v>
      </x:c>
      <x:c r="L1" s="40" t="str">
        <x:v>role</x:v>
      </x:c>
      <x:c r="M1" s="40" t="str">
        <x:v>current_position</x:v>
      </x:c>
      <x:c r="N1" s="40" t="str">
        <x:v>affiliation</x:v>
      </x:c>
      <x:c r="O1" s="40" t="str">
        <x:v>email</x:v>
      </x:c>
      <x:c r="P1" s="40" t="str">
        <x:v>telephone</x:v>
      </x:c>
      <x:c r="Q1" s="40" t="str">
        <x:v>orcid</x:v>
      </x:c>
      <x:c r="R1" s="40" t="str">
        <x:v>google_scholar</x:v>
      </x:c>
      <x:c r="S1" s="40" t="str">
        <x:v>openalex</x:v>
      </x:c>
      <x:c r="T1" s="40" t="str">
        <x:v>crossref</x:v>
      </x:c>
      <x:c r="U1" s="40" t="str">
        <x:v>scopus</x:v>
      </x:c>
      <x:c r="V1" s="40" t="str">
        <x:v>web_of_science</x:v>
      </x:c>
      <x:c r="W1" s="40" t="str">
        <x:v>institution_page</x:v>
      </x:c>
      <x:c r="X1" s="40" t="str">
        <x:v>personal_website</x:v>
      </x:c>
      <x:c r="Y1" s="40" t="str">
        <x:v>source_urls</x:v>
      </x:c>
      <x:c r="Z1" s="40" t="str">
        <x:v>remaining_missing_fields</x:v>
      </x:c>
      <x:c r="AA1" s="40" t="str">
        <x:v>publication_titles</x:v>
      </x:c>
      <x:c r="AB1" s="40" t="str">
        <x:v>publication_dois</x:v>
      </x:c>
    </x:row>
    <x:row r="2">
      <x:c r="A2" s="41" t="str">
        <x:v>unsynced-wumingchung</x:v>
      </x:c>
      <x:c r="B2" s="41" t="str">
        <x:v>Wu, Ming-Chung</x:v>
      </x:c>
      <x:c r="C2" s="41" t="str">
        <x:v>Ming-Chung Wu</x:v>
      </x:c>
      <x:c r="D2" s="41" t="str">
        <x:v>Wu, Ming-Chung; Ming-Chung Wu; M C Wu; M WU</x:v>
      </x:c>
      <x:c r="E2" s="41" t="str">
        <x:v>verified</x:v>
      </x:c>
      <x:c r="F2" s="41" t="str">
        <x:v>ORCID + DOI-constrained OpenAlex match</x:v>
      </x:c>
      <x:c r="G2" s="42" t="str">
        <x:v>1.0</x:v>
      </x:c>
      <x:c r="H2" s="41"/>
      <x:c r="I2" s="43" t="str">
        <x:v>8</x:v>
      </x:c>
      <x:c r="J2" s="43" t="str">
        <x:v>2021</x:v>
      </x:c>
      <x:c r="K2" s="43" t="str">
        <x:v>2026</x:v>
      </x:c>
      <x:c r="L2" s="41" t="str">
        <x:v>Professor</x:v>
      </x:c>
      <x:c r="M2" s="41" t="str">
        <x:v>Professor</x:v>
      </x:c>
      <x:c r="N2" s="41" t="str">
        <x:v>Department of Chemical and Materials Engineering, Chang Gung University</x:v>
      </x:c>
      <x:c r="O2" s="41"/>
      <x:c r="P2" s="41"/>
      <x:c r="Q2" s="41" t="str">
        <x:v>0000-0002-3584-3871</x:v>
      </x:c>
      <x:c r="R2" s="41" t="str">
        <x:v>https://scholar.google.com/citations?user=R1UPxsMAAAAJ&amp;hl=zh-TW</x:v>
      </x:c>
      <x:c r="S2" s="41" t="str">
        <x:v>https://openalex.org/A5086349184</x:v>
      </x:c>
      <x:c r="T2" s="41"/>
      <x:c r="U2" s="41" t="str">
        <x:v>https://www.scopus.com/authid/detail.uri?authorId=14065507800</x:v>
      </x:c>
      <x:c r="V2" s="41" t="str">
        <x:v>http://www.researcherid.com/rid/D-9023-2011</x:v>
      </x:c>
      <x:c r="W2" s="41" t="str">
        <x:v>https://ror.org/00d80zx46</x:v>
      </x:c>
      <x:c r="X2" s="41" t="str">
        <x:v>https://www.frontiergroup.tw/</x:v>
      </x:c>
      <x:c r="Y2" s="41" t="str">
        <x:v>https://openalex.org/A5086349184; https://orcid.org/0000-0002-3584-3871; https://doi.org/10.1016/j.mtener.2026.102359; https://ror.org/00d80zx46; https://www.frontiergroup.tw/</x:v>
      </x:c>
      <x:c r="Z2" s="41" t="str">
        <x:v>email; telephone</x:v>
      </x:c>
      <x:c r="AA2" s="41" t="str">
        <x:v>2T Perovskite Tandem Solar Cells in Space: Failure Mechanisms and Design Strategies | Synergistic preheating and moderate temperature liquid medium annealing for high performance perovskite solar cells | Impact of proton radiation on the performance of single-junction perovskite solar cells for space applications | Exploring the efficiency enhancement of perovskite solar cells by chemical bath depositing SnO2 on mesoporous TiO2 electrode | Enhancing efficiency and stability of perovskite solar cells through two-step deposition method with the addition of cesium halides to PbI2 precursor | Surfactant Tween 20 Controlled Perovskite Film Fabricated by Thermal Blade Coating for Efficient Perovskite Solar Cells | Controlled Photoanode Properties for Large-Area Efficient and Stable Dye-Sensitized Photovoltaic Modules | Reducing defects in organic-lead halide perovskite film by delayed thermal annealing combined with KI/I2 for efficient perovskite solar cells</x:v>
      </x:c>
      <x:c r="AB2" s="41" t="str">
        <x:v>10.1016/j.mtener.2026.102359; 10.1016/j.solener.2026.114430; 10.1016/j.solmat.2025.114015; 10.1016/j.mtchem.2024.102329; 10.1016/j.orgel.2023.106847; 10.3390/nano12152651; 10.3390/nano11082125; 10.3390/nano11061607</x:v>
      </x:c>
    </x:row>
    <x:row r="3">
      <x:c r="A3" s="41" t="str">
        <x:v>unsynced-hsiehwenfeng</x:v>
      </x:c>
      <x:c r="B3" s="41" t="str">
        <x:v>Hsieh, Wen-Feng</x:v>
      </x:c>
      <x:c r="C3" s="41" t="str">
        <x:v>Wen-Feng Hsieh</x:v>
      </x:c>
      <x:c r="D3" s="41" t="str">
        <x:v>Hsieh, Wen-Feng; Wen-Feng Hsieh; Hsieh, Weng-Feng; Weng-Feng Hsieh; 謝文峰</x:v>
      </x:c>
      <x:c r="E3" s="41" t="str">
        <x:v>verified</x:v>
      </x:c>
      <x:c r="F3" s="41" t="str">
        <x:v>Official NYCU faculty page + DOI-constrained author match</x:v>
      </x:c>
      <x:c r="G3" s="42" t="str">
        <x:v>1.0</x:v>
      </x:c>
      <x:c r="H3" s="41"/>
      <x:c r="I3" s="43" t="str">
        <x:v>7</x:v>
      </x:c>
      <x:c r="J3" s="43" t="str">
        <x:v>2005</x:v>
      </x:c>
      <x:c r="K3" s="43" t="str">
        <x:v>2011</x:v>
      </x:c>
      <x:c r="L3" s="41" t="str">
        <x:v>Professor Emeritus</x:v>
      </x:c>
      <x:c r="M3" s="41" t="str">
        <x:v>Retired Professor</x:v>
      </x:c>
      <x:c r="N3" s="41" t="str">
        <x:v>Department of Photonics, National Yang Ming Chiao Tung University</x:v>
      </x:c>
      <x:c r="O3" s="41" t="str">
        <x:v>wfhsieh1955@gmail.com</x:v>
      </x:c>
      <x:c r="P3" s="41"/>
      <x:c r="Q3" s="41"/>
      <x:c r="R3" s="41"/>
      <x:c r="S3" s="41" t="str">
        <x:v>https://openalex.org/A5108372667</x:v>
      </x:c>
      <x:c r="T3" s="41"/>
      <x:c r="U3" s="41"/>
      <x:c r="V3" s="41"/>
      <x:c r="W3" s="41" t="str">
        <x:v>https://dop.nycu.edu.tw/ch/people_ii.html?tID=112</x:v>
      </x:c>
      <x:c r="X3" s="41" t="str">
        <x:v>https://wfhsieh1955.blogspot.com/</x:v>
      </x:c>
      <x:c r="Y3" s="41" t="str">
        <x:v>https://openalex.org/A5108372667; https://doi.org/10.1016/j.jpowsour.2011.06.049; https://ror.org/00se2k293; https://dop.nycu.edu.tw/ch/people_ii.html?tID=112; https://wfhsieh1955.blogspot.com/; https://openalex.org/A5028020777</x:v>
      </x:c>
      <x:c r="Z3" s="41" t="str">
        <x:v>telephone; orcid; Google Scholar; Scopus; Web of Science</x:v>
      </x:c>
      <x:c r="AA3" s="41" t="str">
        <x:v>Improvement on the long-term stability of flexible plastic dye-sensitized solar cells | High efficiency flexible dye-sensitized solar cells by multiple electrophoretic depositions | Improved performance of flexible dye-sensitized solar cells by introducing an interfacial layer on Ti substrates | The influence of tetrapod-like ZnO morphology and electrolytes on energy conversion efficiency of dye-sensitized solar cells | Efficient electron transport in tetrapod-like ZnO metal-free dye-sensitized solar cells | Formation of branched ZnO nanowires from solvothermal method and dye-sensitized solar cells applications | Transverse excess noise factor and transverse mode locking in a gain-guided laser</x:v>
      </x:c>
      <x:c r="AB3" s="41" t="str">
        <x:v>10.1016/j.jpowsour.2011.06.049; 10.1016/j.jpowsour.2010.12.063; 10.1039/C0JM04099A; 10.1016/j.electacta.2010.07.061; 10.1039/B902595M; 10.1021/jp805239k; 10.1016/j.optcom.2004.10.003</x:v>
      </x:c>
    </x:row>
    <x:row r="4">
      <x:c r="A4" s="41" t="str">
        <x:v>unsynced-chengao</x:v>
      </x:c>
      <x:c r="B4" s="41" t="str">
        <x:v>Chen, Gao</x:v>
      </x:c>
      <x:c r="C4" s="41" t="str">
        <x:v>Gao Chen</x:v>
      </x:c>
      <x:c r="D4" s="41" t="str">
        <x:v>Chen, Gao; Gao Chen</x:v>
      </x:c>
      <x:c r="E4" s="41" t="str">
        <x:v>verified</x:v>
      </x:c>
      <x:c r="F4" s="41" t="str">
        <x:v>ORCID + DOI-constrained OpenAlex match</x:v>
      </x:c>
      <x:c r="G4" s="42" t="str">
        <x:v>1.0</x:v>
      </x:c>
      <x:c r="H4" s="41"/>
      <x:c r="I4" s="43" t="str">
        <x:v>6</x:v>
      </x:c>
      <x:c r="J4" s="43" t="str">
        <x:v>2023</x:v>
      </x:c>
      <x:c r="K4" s="43" t="str">
        <x:v>2026</x:v>
      </x:c>
      <x:c r="L4" s="41"/>
      <x:c r="M4" s="41"/>
      <x:c r="N4" s="41" t="str">
        <x:v>Tsinghua University</x:v>
      </x:c>
      <x:c r="O4" s="41"/>
      <x:c r="P4" s="41"/>
      <x:c r="Q4" s="41" t="str">
        <x:v>0000-0003-3865-0896</x:v>
      </x:c>
      <x:c r="R4" s="41"/>
      <x:c r="S4" s="41" t="str">
        <x:v>https://openalex.org/A5101469932</x:v>
      </x:c>
      <x:c r="T4" s="41"/>
      <x:c r="U4" s="41"/>
      <x:c r="V4" s="41"/>
      <x:c r="W4" s="41" t="str">
        <x:v>https://ror.org/01m8p7q42</x:v>
      </x:c>
      <x:c r="X4" s="41"/>
      <x:c r="Y4" s="41" t="str">
        <x:v>https://openalex.org/A5101469932; https://orcid.org/0000-0003-3865-0896; https://doi.org/10.1016/j.cej.2026.177494; https://ror.org/01m8p7q42</x:v>
      </x:c>
      <x:c r="Z4" s="41" t="str">
        <x:v>role; email; telephone; Google Scholar; Scopus; Web of Science; personal website</x:v>
      </x:c>
      <x:c r="AA4" s="41" t="str">
        <x:v>Reliability enhancement of PVDF-HFP modified perovskite solar cells under synergistic space-relevant stress conditions | Synergistic preheating and moderate temperature liquid medium annealing for high performance perovskite solar cells | Asymmetric Fluorinated Cyclopenta [2, 1‐b: 3, 4‐b'] Dithiophene‐Based Hole‐Transporting Materials for Perovskite Solar Cell | Exploring the efficiency enhancement of perovskite solar cells by chemical bath depositing SnO2 on mesoporous TiO2 electrode | Enhancing efficiency and stability of perovskite solar cells through two-step deposition method with the addition of cesium halides to PbI2 precursor | Fluorinated Pentafulvalene‐Fused Hole‐Transporting Material Enhances the Performance of Perovskite Solar Cells with Efficiency Exceeding 23%</x:v>
      </x:c>
      <x:c r="AB4" s="41" t="str">
        <x:v>10.1016/j.cej.2026.177494; 10.1016/j.solener.2026.114430; 10.1002/asia.202500719; 10.1016/j.mtchem.2024.102329; 10.1016/j.orgel.2023.106847; 10.1002/adfm.202306367</x:v>
      </x:c>
    </x:row>
    <x:row r="5">
      <x:c r="A5" s="41" t="str">
        <x:v>unsynced-chenshihhsuan</x:v>
      </x:c>
      <x:c r="B5" s="41" t="str">
        <x:v>Chen, Shih-Hsuan</x:v>
      </x:c>
      <x:c r="C5" s="41" t="str">
        <x:v>Shih-Hsuan Chen</x:v>
      </x:c>
      <x:c r="D5" s="41" t="str">
        <x:v>Chen, Shih-Hsuan; Shih-Hsuan Chen</x:v>
      </x:c>
      <x:c r="E5" s="41" t="str">
        <x:v>verified</x:v>
      </x:c>
      <x:c r="F5" s="41" t="str">
        <x:v>ORCID + DOI-constrained OpenAlex match</x:v>
      </x:c>
      <x:c r="G5" s="42" t="str">
        <x:v>1.0</x:v>
      </x:c>
      <x:c r="H5" s="41"/>
      <x:c r="I5" s="43" t="str">
        <x:v>6</x:v>
      </x:c>
      <x:c r="J5" s="43" t="str">
        <x:v>2022</x:v>
      </x:c>
      <x:c r="K5" s="43" t="str">
        <x:v>2026</x:v>
      </x:c>
      <x:c r="L5" s="41"/>
      <x:c r="M5" s="41"/>
      <x:c r="N5" s="41" t="str">
        <x:v>Department of Chemical and Materials Engineering, Chang Gung University, Taoyuan 33302, Taiwan</x:v>
      </x:c>
      <x:c r="O5" s="41"/>
      <x:c r="P5" s="41"/>
      <x:c r="Q5" s="41" t="str">
        <x:v>0009-0009-7913-4397</x:v>
      </x:c>
      <x:c r="R5" s="41" t="str">
        <x:v>https://scholar.google.com/citations?user=e65zM8MAAAAJ&amp;hl=zh-TW</x:v>
      </x:c>
      <x:c r="S5" s="41" t="str">
        <x:v>https://openalex.org/A5102853858</x:v>
      </x:c>
      <x:c r="T5" s="41"/>
      <x:c r="U5" s="41"/>
      <x:c r="V5" s="41"/>
      <x:c r="W5" s="41" t="str">
        <x:v>https://ror.org/00d80zx46</x:v>
      </x:c>
      <x:c r="X5" s="41"/>
      <x:c r="Y5" s="41" t="str">
        <x:v>https://openalex.org/A5102853858; https://orcid.org/0009-0009-7913-4397; https://doi.org/10.1016/j.mtener.2026.102359; https://ror.org/00d80zx46</x:v>
      </x:c>
      <x:c r="Z5" s="41" t="str">
        <x:v>role; email; telephone; Scopus; Web of Science; personal website</x:v>
      </x:c>
      <x:c r="AA5" s="41" t="str">
        <x:v>2T Perovskite Tandem Solar Cells in Space: Failure Mechanisms and Design Strategies | Heterogeneous graphite felt electrodes decorated with nanostructured graphitic carbon nitride for enhanced redox kinetics in vanadium redox flow batteries | Impact of proton radiation on the performance of single-junction perovskite solar cells for space applications | MOF-&amp; COF-integrated composite separators/membranes: innovations for sustainable and high-performance redox flow batteries | Exploring the efficiency enhancement of perovskite solar cells by chemical bath depositing SnO2 on mesoporous TiO2 electrode | Surfactant Tween 20 Controlled Perovskite Film Fabricated by Thermal Blade Coating for Efficient Perovskite Solar Cells</x:v>
      </x:c>
      <x:c r="AB5" s="41" t="str">
        <x:v>10.1016/j.mtener.2026.102359; 10.1016/j.jpowsour.2025.239216; 10.1016/j.solmat.2025.114015; 10.1016/j.seppur.2025.134157; 10.1016/j.mtchem.2024.102329; 10.3390/nano12152651</x:v>
      </x:c>
    </x:row>
    <x:row r="6">
      <x:c r="A6" s="41" t="str">
        <x:v>unsynced-lisierong</x:v>
      </x:c>
      <x:c r="B6" s="41" t="str">
        <x:v>Li, Sie-Rong</x:v>
      </x:c>
      <x:c r="C6" s="41" t="str">
        <x:v>Sie-Rong Li</x:v>
      </x:c>
      <x:c r="D6" s="41" t="str">
        <x:v>Li, Sie-Rong; Sie-Rong Li</x:v>
      </x:c>
      <x:c r="E6" s="41" t="str">
        <x:v>verified</x:v>
      </x:c>
      <x:c r="F6" s="41" t="str">
        <x:v>ORCID + DOI-constrained OpenAlex match</x:v>
      </x:c>
      <x:c r="G6" s="42" t="str">
        <x:v>1.0</x:v>
      </x:c>
      <x:c r="H6" s="41"/>
      <x:c r="I6" s="43" t="str">
        <x:v>6</x:v>
      </x:c>
      <x:c r="J6" s="43" t="str">
        <x:v>2023</x:v>
      </x:c>
      <x:c r="K6" s="43" t="str">
        <x:v>2025</x:v>
      </x:c>
      <x:c r="L6" s="41"/>
      <x:c r="M6" s="41"/>
      <x:c r="N6" s="41" t="str">
        <x:v>Institute of Chemistry Academia Sinica</x:v>
      </x:c>
      <x:c r="O6" s="41"/>
      <x:c r="P6" s="41"/>
      <x:c r="Q6" s="41" t="str">
        <x:v>0000-0002-2822-1185</x:v>
      </x:c>
      <x:c r="R6" s="41" t="str">
        <x:v>https://scholar.google.com/citations?user=L7nADj8AAAAJ&amp;hl=zh-TW</x:v>
      </x:c>
      <x:c r="S6" s="41" t="str">
        <x:v>https://openalex.org/A5033313741</x:v>
      </x:c>
      <x:c r="T6" s="41"/>
      <x:c r="U6" s="41"/>
      <x:c r="V6" s="41" t="str">
        <x:v>https://www.webofscience.com/wos/author/record/AAV-7027-2021</x:v>
      </x:c>
      <x:c r="W6" s="41" t="str">
        <x:v>https://ror.org/04xjjma71</x:v>
      </x:c>
      <x:c r="X6" s="41" t="str">
        <x:v>https://www.linkedin.com/in/sie-rong-li-9657a916b/</x:v>
      </x:c>
      <x:c r="Y6" s="41" t="str">
        <x:v>https://openalex.org/A5033313741; https://orcid.org/0000-0002-2822-1185; https://doi.org/10.1002/solr.202500538; https://ror.org/04xjjma71; https://www.linkedin.com/in/sie-rong-li-9657a916b/</x:v>
      </x:c>
      <x:c r="Z6" s="41" t="str">
        <x:v>role; email; telephone; Scopus</x:v>
      </x:c>
      <x:c r="AA6" s="41" t="str">
        <x:v>Round-Robin Interlaboratory Comparison of Large-Area Organic Thin-Film and Perovskite Solar Cells | Asymmetric Fluorinated Cyclopenta [2, 1‐b: 3, 4‐b'] Dithiophene‐Based Hole‐Transporting Materials for Perovskite Solar Cell | Judicious Molecular Design of 5H‑Dithieno[3,2‑b:2′,3′‑d]Pyran-based Hole-Transporting Materials for Highly Efficient and Stable Perovskite Solar Cells | Fluorination of Star-Shaped Cyclopenta[2,1-b;3,4-b′]dithiophene Derivatives and Its Application as Hole-Transporting Materials in Scalable Perovskite Solar Cell Fabrication by Bar Coating | Fluorinated Pentafulvalene‐Fused Hole‐Transporting Material Enhances the Performance of Perovskite Solar Cells with Efficiency Exceeding 23% | Facile synthesis of spiro-core-based hole-transporting material for high-performance and stable perovskite solar cells</x:v>
      </x:c>
      <x:c r="AB6" s="41" t="str">
        <x:v>10.1002/solr.202500538; 10.1002/asia.202500719; 10.1002/advs.202410666; 10.1002/solr.202300988; 10.1002/adfm.202306367; 10.1016/j.cej.2022.139926</x:v>
      </x:c>
    </x:row>
    <x:row r="7">
      <x:c r="A7" s="41" t="str">
        <x:v>unsynced-linyanduo</x:v>
      </x:c>
      <x:c r="B7" s="41" t="str">
        <x:v>Lin, Yan-Duo</x:v>
      </x:c>
      <x:c r="C7" s="41" t="str">
        <x:v>Yan-Duo Lin</x:v>
      </x:c>
      <x:c r="D7" s="41" t="str">
        <x:v>Lin, Yan-Duo; Yan-Duo Lin</x:v>
      </x:c>
      <x:c r="E7" s="41" t="str">
        <x:v>verified</x:v>
      </x:c>
      <x:c r="F7" s="41" t="str">
        <x:v>ORCID + DOI-constrained OpenAlex match</x:v>
      </x:c>
      <x:c r="G7" s="42" t="str">
        <x:v>1.0</x:v>
      </x:c>
      <x:c r="H7" s="41"/>
      <x:c r="I7" s="43" t="str">
        <x:v>6</x:v>
      </x:c>
      <x:c r="J7" s="43" t="str">
        <x:v>2022</x:v>
      </x:c>
      <x:c r="K7" s="43" t="str">
        <x:v>2025</x:v>
      </x:c>
      <x:c r="L7" s="41"/>
      <x:c r="M7" s="41"/>
      <x:c r="N7" s="41" t="str">
        <x:v>Department of Chemistry, Soochow University Library</x:v>
      </x:c>
      <x:c r="O7" s="41"/>
      <x:c r="P7" s="41"/>
      <x:c r="Q7" s="41" t="str">
        <x:v>0000-0002-1570-5842</x:v>
      </x:c>
      <x:c r="R7" s="41" t="str">
        <x:v>https://scholar.google.com/citations?user=v4m0FJUAAAAJ&amp;hl=zh-TW</x:v>
      </x:c>
      <x:c r="S7" s="41" t="str">
        <x:v>https://openalex.org/A5055342027</x:v>
      </x:c>
      <x:c r="T7" s="41"/>
      <x:c r="U7" s="41"/>
      <x:c r="V7" s="41"/>
      <x:c r="W7" s="41" t="str">
        <x:v>https://ror.org/05kvm7n82</x:v>
      </x:c>
      <x:c r="X7" s="41" t="str">
        <x:v>http://www.ncyu.edu.tw/chem/content.aspx?site_content_sn=58714</x:v>
      </x:c>
      <x:c r="Y7" s="41" t="str">
        <x:v>https://openalex.org/A5055342027; https://orcid.org/0000-0002-1570-5842; https://doi.org/10.1002/asia.202500719; https://ror.org/05kvm7n82; http://www.ncyu.edu.tw/chem/content.aspx?site_content_sn=58714</x:v>
      </x:c>
      <x:c r="Z7" s="41" t="str">
        <x:v>role; email; telephone; Scopus; Web of Science</x:v>
      </x:c>
      <x:c r="AA7" s="41" t="str">
        <x:v>Asymmetric Fluorinated Cyclopenta [2, 1‐b: 3, 4‐b'] Dithiophene‐Based Hole‐Transporting Materials for Perovskite Solar Cell | Judicious Molecular Design of 5H‑Dithieno[3,2‑b:2′,3′‑d]Pyran-based Hole-Transporting Materials for Highly Efficient and Stable Perovskite Solar Cells | Fluorination of Star-Shaped Cyclopenta[2,1-b;3,4-b′]dithiophene Derivatives and Its Application as Hole-Transporting Materials in Scalable Perovskite Solar Cell Fabrication by Bar Coating | Fluorination on cyclopentadithiophene-based hole-transport material for high-performance perovskite solar cells | Facile synthesis of spiro-core-based hole-transporting material for high-performance and stable perovskite solar cells | High-performance perovskite solar cells based on dopant-free hole-transporting material fabricated by a thermal-assisted blade-coating method with efficiency exceeding 21%</x:v>
      </x:c>
      <x:c r="AB7" s="41" t="str">
        <x:v>10.1002/asia.202500719; 10.1002/advs.202410666; 10.1002/solr.202300988; 10.1039/D3CC04699K; 10.1016/j.cej.2022.139926; 10.1016/j.cej.2021.131609</x:v>
      </x:c>
    </x:row>
    <x:row r="8">
      <x:c r="A8" s="41" t="str">
        <x:v>unsynced-suryanarayananvembu</x:v>
      </x:c>
      <x:c r="B8" s="41" t="str">
        <x:v>Suryanarayanan, Vembu</x:v>
      </x:c>
      <x:c r="C8" s="41" t="str">
        <x:v>Vembu Suryanarayanan</x:v>
      </x:c>
      <x:c r="D8" s="41" t="str">
        <x:v>Suryanarayanan, Vembu; Vembu Suryanarayanan; V SURYANARAYANAN</x:v>
      </x:c>
      <x:c r="E8" s="41" t="str">
        <x:v>verified</x:v>
      </x:c>
      <x:c r="F8" s="41" t="str">
        <x:v>ORCID + DOI-constrained OpenAlex match</x:v>
      </x:c>
      <x:c r="G8" s="42" t="str">
        <x:v>0.98</x:v>
      </x:c>
      <x:c r="H8" s="41"/>
      <x:c r="I8" s="43" t="str">
        <x:v>6</x:v>
      </x:c>
      <x:c r="J8" s="43" t="str">
        <x:v>2010</x:v>
      </x:c>
      <x:c r="K8" s="43" t="str">
        <x:v>2023</x:v>
      </x:c>
      <x:c r="L8" s="41"/>
      <x:c r="M8" s="41"/>
      <x:c r="N8" s="41" t="str">
        <x:v>Electroorganic and Materials Electrochemistry Division, CSIR-Central Electrochemical Research Institute, Karaikudi 630003, India</x:v>
      </x:c>
      <x:c r="O8" s="41"/>
      <x:c r="P8" s="41"/>
      <x:c r="Q8" s="41" t="str">
        <x:v>0000-0003-1123-3291</x:v>
      </x:c>
      <x:c r="R8" s="41" t="str">
        <x:v>https://scholar.google.com/citations?user=O7ph8LUAAAAJ&amp;hl=zh-TW</x:v>
      </x:c>
      <x:c r="S8" s="41" t="str">
        <x:v>https://openalex.org/A5042890065</x:v>
      </x:c>
      <x:c r="T8" s="41"/>
      <x:c r="U8" s="41"/>
      <x:c r="V8" s="41"/>
      <x:c r="W8" s="41" t="str">
        <x:v>https://ror.org/01qek3q18</x:v>
      </x:c>
      <x:c r="X8" s="41"/>
      <x:c r="Y8" s="41" t="str">
        <x:v>https://openalex.org/A5042890065; https://orcid.org/0000-0003-1123-3291; https://doi.org/10.1016/j.orgel.2023.106847; https://ror.org/01qek3q18</x:v>
      </x:c>
      <x:c r="Z8" s="41" t="str">
        <x:v>role; email; telephone; Scopus; Web of Science; personal website</x:v>
      </x:c>
      <x:c r="AA8" s="41" t="str">
        <x:v>Enhancing efficiency and stability of perovskite solar cells through two-step deposition method with the addition of cesium halides to PbI2 precursor | Surfactant Tween 20 Controlled Perovskite Film Fabricated by Thermal Blade Coating for Efficient Perovskite Solar Cells | Controlled Photoanode Properties for Large-Area Efficient and Stable Dye-Sensitized Photovoltaic Modules | Reducing defects in organic-lead halide perovskite film by delayed thermal annealing combined with KI/I2 for efficient perovskite solar cells | Enhanced efficiency of bifacial and back-illuminated Ti foil based flexible dye-sensitized solar cells by decoration of mesoporous SiO2 layer on TiO2 anode | Effects of mesoscopic poly (3, 4-ethylenedioxythiophene) films as counter electrodes for dye-sensitized solar cells</x:v>
      </x:c>
      <x:c r="AB8" s="41" t="str">
        <x:v>10.1016/j.orgel.2023.106847; 10.3390/nano12152651; 10.3390/nano11082125; 10.3390/nano11061607; 10.1016/j.jpowsour.2012.12.094; 10.1016/j.tsf.2009.11.058</x:v>
      </x:c>
    </x:row>
    <x:row r="9">
      <x:c r="A9" s="41" t="str">
        <x:v>unsynced-ahnseoungjun</x:v>
      </x:c>
      <x:c r="B9" s="41" t="str">
        <x:v>Ahn, Seoungjun</x:v>
      </x:c>
      <x:c r="C9" s="41" t="str">
        <x:v>Seoungjun Ahn</x:v>
      </x:c>
      <x:c r="D9" s="41" t="str">
        <x:v>Ahn, Seoungjun; Seoungjun Ahn</x:v>
      </x:c>
      <x:c r="E9" s="41" t="str">
        <x:v>verified</x:v>
      </x:c>
      <x:c r="F9" s="41" t="str">
        <x:v>ORCID + DOI-constrained OpenAlex match</x:v>
      </x:c>
      <x:c r="G9" s="42" t="str">
        <x:v>1.0</x:v>
      </x:c>
      <x:c r="H9" s="41"/>
      <x:c r="I9" s="43" t="str">
        <x:v>5</x:v>
      </x:c>
      <x:c r="J9" s="43" t="str">
        <x:v>2021</x:v>
      </x:c>
      <x:c r="K9" s="43" t="str">
        <x:v>2026</x:v>
      </x:c>
      <x:c r="L9" s="41"/>
      <x:c r="M9" s="41"/>
      <x:c r="N9" s="41" t="str">
        <x:v>Department of Chemical and Materials Engineering, Chang Gung University, Taoyuan 33302, Taiwan</x:v>
      </x:c>
      <x:c r="O9" s="41"/>
      <x:c r="P9" s="41"/>
      <x:c r="Q9" s="41" t="str">
        <x:v>0009-0003-3751-8583</x:v>
      </x:c>
      <x:c r="R9" s="41" t="str">
        <x:v>https://scholar.google.com/citations?user=O_URQgwAAAAJ&amp;hl=zh-TW</x:v>
      </x:c>
      <x:c r="S9" s="41" t="str">
        <x:v>https://openalex.org/A5032000460</x:v>
      </x:c>
      <x:c r="T9" s="41"/>
      <x:c r="U9" s="41"/>
      <x:c r="V9" s="41"/>
      <x:c r="W9" s="41" t="str">
        <x:v>https://ror.org/00d80zx46</x:v>
      </x:c>
      <x:c r="X9" s="41"/>
      <x:c r="Y9" s="41" t="str">
        <x:v>https://openalex.org/A5032000460; https://orcid.org/0009-0003-3751-8583; https://doi.org/10.1016/j.cej.2026.177494; https://ror.org/00d80zx46</x:v>
      </x:c>
      <x:c r="Z9" s="41" t="str">
        <x:v>role; email; telephone; Scopus; Web of Science; personal website</x:v>
      </x:c>
      <x:c r="AA9" s="41" t="str">
        <x:v>Reliability enhancement of PVDF-HFP modified perovskite solar cells under synergistic space-relevant stress conditions | A systematic investigation of PVDF-HFP in perovskite solar cells for improved space mission reliability | Enhancing efficiency and stability of perovskite solar cells through two-step deposition method with the addition of cesium halides to PbI2 precursor | Facile synthesis of spiro-core-based hole-transporting material for high-performance and stable perovskite solar cells | Reducing defects in organic-lead halide perovskite film by delayed thermal annealing combined with KI/I2 for efficient perovskite solar cells</x:v>
      </x:c>
      <x:c r="AB9" s="41" t="str">
        <x:v>10.1016/j.cej.2026.177494; 10.1016/j.cej.2024.153974; 10.1016/j.orgel.2023.106847; 10.1016/j.cej.2022.139926; 10.3390/nano11061607</x:v>
      </x:c>
    </x:row>
    <x:row r="10">
      <x:c r="A10" s="41" t="str">
        <x:v>unsynced-chuweichen</x:v>
      </x:c>
      <x:c r="B10" s="41" t="str">
        <x:v>Chu, Wei-Chen</x:v>
      </x:c>
      <x:c r="C10" s="41" t="str">
        <x:v>Wei-Chen Chu</x:v>
      </x:c>
      <x:c r="D10" s="41" t="str">
        <x:v>Chu, Wei-Chen; Wei-Chen Chu</x:v>
      </x:c>
      <x:c r="E10" s="41" t="str">
        <x:v>verified</x:v>
      </x:c>
      <x:c r="F10" s="41" t="str">
        <x:v>DOI-constrained OpenAlex match</x:v>
      </x:c>
      <x:c r="G10" s="42" t="str">
        <x:v>1.0</x:v>
      </x:c>
      <x:c r="H10" s="41"/>
      <x:c r="I10" s="43" t="str">
        <x:v>5</x:v>
      </x:c>
      <x:c r="J10" s="43" t="str">
        <x:v>2024</x:v>
      </x:c>
      <x:c r="K10" s="43" t="str">
        <x:v>2026</x:v>
      </x:c>
      <x:c r="L10" s="41"/>
      <x:c r="M10" s="41"/>
      <x:c r="N10" s="41" t="str">
        <x:v>Department of Chemical and Materials Engineering College of Engineering Chang Gung University Taoyuan Taiwan</x:v>
      </x:c>
      <x:c r="O10" s="41"/>
      <x:c r="P10" s="41"/>
      <x:c r="Q10" s="41"/>
      <x:c r="R10" s="41"/>
      <x:c r="S10" s="41" t="str">
        <x:v>https://openalex.org/A5102526432</x:v>
      </x:c>
      <x:c r="T10" s="41"/>
      <x:c r="U10" s="41"/>
      <x:c r="V10" s="41"/>
      <x:c r="W10" s="41" t="str">
        <x:v>https://ror.org/00d80zx46</x:v>
      </x:c>
      <x:c r="X10" s="41"/>
      <x:c r="Y10" s="41" t="str">
        <x:v>https://openalex.org/A5102526432; https://doi.org/10.1016/j.cej.2026.177494; https://ror.org/00d80zx46</x:v>
      </x:c>
      <x:c r="Z10" s="41" t="str">
        <x:v>role; email; telephone; orcid; Google Scholar; Scopus; Web of Science; personal website</x:v>
      </x:c>
      <x:c r="AA10" s="41" t="str">
        <x:v>Reliability enhancement of PVDF-HFP modified perovskite solar cells under synergistic space-relevant stress conditions | Round-Robin Interlaboratory Comparison of Large-Area Organic Thin-Film and Perovskite Solar Cells | Asymmetric Fluorinated Cyclopenta [2, 1‐b: 3, 4‐b'] Dithiophene‐Based Hole‐Transporting Materials for Perovskite Solar Cell | Judicious Molecular Design of 5H‑Dithieno[3,2‑b:2′,3′‑d]Pyran-based Hole-Transporting Materials for Highly Efficient and Stable Perovskite Solar Cells | A systematic investigation of PVDF-HFP in perovskite solar cells for improved space mission reliability</x:v>
      </x:c>
      <x:c r="AB10" s="41" t="str">
        <x:v>10.1016/j.cej.2026.177494; 10.1002/solr.202500538; 10.1002/asia.202500719; 10.1002/advs.202410666; 10.1016/j.cej.2024.153974</x:v>
      </x:c>
    </x:row>
    <x:row r="11">
      <x:c r="A11" s="41" t="str">
        <x:v>unsynced-hsiehhsiaochi</x:v>
      </x:c>
      <x:c r="B11" s="41" t="str">
        <x:v>Hsieh, Hsiao-Chi</x:v>
      </x:c>
      <x:c r="C11" s="41" t="str">
        <x:v>Hsiao-Chi Hsieh</x:v>
      </x:c>
      <x:c r="D11" s="41" t="str">
        <x:v>Hsieh, Hsiao-Chi; Hsiao-Chi Hsieh</x:v>
      </x:c>
      <x:c r="E11" s="41" t="str">
        <x:v>verified</x:v>
      </x:c>
      <x:c r="F11" s="41" t="str">
        <x:v>ORCID + DOI-constrained OpenAlex match</x:v>
      </x:c>
      <x:c r="G11" s="42" t="str">
        <x:v>1.0</x:v>
      </x:c>
      <x:c r="H11" s="41"/>
      <x:c r="I11" s="43" t="str">
        <x:v>5</x:v>
      </x:c>
      <x:c r="J11" s="43" t="str">
        <x:v>2023</x:v>
      </x:c>
      <x:c r="K11" s="43" t="str">
        <x:v>2025</x:v>
      </x:c>
      <x:c r="L11" s="41"/>
      <x:c r="M11" s="41"/>
      <x:c r="N11" s="41" t="str">
        <x:v>Department of Chemical and Materials Engineering Tamkang University New Taipei City 24301 Taiwan</x:v>
      </x:c>
      <x:c r="O11" s="41"/>
      <x:c r="P11" s="41"/>
      <x:c r="Q11" s="41" t="str">
        <x:v>0000-0002-4213-8580</x:v>
      </x:c>
      <x:c r="R11" s="41"/>
      <x:c r="S11" s="41" t="str">
        <x:v>https://openalex.org/A5110454629</x:v>
      </x:c>
      <x:c r="T11" s="41"/>
      <x:c r="U11" s="41"/>
      <x:c r="V11" s="41"/>
      <x:c r="W11" s="41" t="str">
        <x:v>https://ror.org/04tft4718</x:v>
      </x:c>
      <x:c r="X11" s="41"/>
      <x:c r="Y11" s="41" t="str">
        <x:v>https://openalex.org/A5110454629; https://orcid.org/0000-0002-4213-8580; https://doi.org/10.1002/asia.202500719; https://ror.org/04tft4718</x:v>
      </x:c>
      <x:c r="Z11" s="41" t="str">
        <x:v>role; email; telephone; Google Scholar; Scopus; Web of Science; personal website</x:v>
      </x:c>
      <x:c r="AA11" s="41" t="str">
        <x:v>Asymmetric Fluorinated Cyclopenta [2, 1‐b: 3, 4‐b'] Dithiophene‐Based Hole‐Transporting Materials for Perovskite Solar Cell | Judicious Molecular Design of 5H‑Dithieno[3,2‑b:2′,3′‑d]Pyran-based Hole-Transporting Materials for Highly Efficient and Stable Perovskite Solar Cells | Fluorination of Star-Shaped Cyclopenta[2,1-b;3,4-b′]dithiophene Derivatives and Its Application as Hole-Transporting Materials in Scalable Perovskite Solar Cell Fabrication by Bar Coating | Fluorination on cyclopentadithiophene-based hole-transport material for high-performance perovskite solar cells | Fluorinated Pentafulvalene‐Fused Hole‐Transporting Material Enhances the Performance of Perovskite Solar Cells with Efficiency Exceeding 23%</x:v>
      </x:c>
      <x:c r="AB11" s="41" t="str">
        <x:v>10.1002/asia.202500719; 10.1002/advs.202410666; 10.1002/solr.202300988; 10.1039/D3CC04699K; 10.1002/adfm.202306367</x:v>
      </x:c>
    </x:row>
    <x:row r="12">
      <x:c r="A12" s="41" t="str">
        <x:v>unsynced-hsujenfu</x:v>
      </x:c>
      <x:c r="B12" s="41" t="str">
        <x:v>Hsu, Jen-Fu</x:v>
      </x:c>
      <x:c r="C12" s="41" t="str">
        <x:v>Jen-Fu Hsu</x:v>
      </x:c>
      <x:c r="D12" s="41" t="str">
        <x:v>Hsu, Jen-Fu; Jen-Fu Hsu; J. Hsu; J.-F. Hsu</x:v>
      </x:c>
      <x:c r="E12" s="41" t="str">
        <x:v>verified</x:v>
      </x:c>
      <x:c r="F12" s="41" t="str">
        <x:v>ORCID + DOI-constrained OpenAlex match</x:v>
      </x:c>
      <x:c r="G12" s="42" t="str">
        <x:v>1.0</x:v>
      </x:c>
      <x:c r="H12" s="41"/>
      <x:c r="I12" s="43" t="str">
        <x:v>5</x:v>
      </x:c>
      <x:c r="J12" s="43" t="str">
        <x:v>2021</x:v>
      </x:c>
      <x:c r="K12" s="43" t="str">
        <x:v>2026</x:v>
      </x:c>
      <x:c r="L12" s="41"/>
      <x:c r="M12" s="41"/>
      <x:c r="N12" s="41" t="str">
        <x:v>Division of Pediatric Neonatology, Linkou Chang Gung Memorial Hospital</x:v>
      </x:c>
      <x:c r="O12" s="41"/>
      <x:c r="P12" s="41"/>
      <x:c r="Q12" s="41" t="str">
        <x:v>0000-0003-0798-5378</x:v>
      </x:c>
      <x:c r="R12" s="41"/>
      <x:c r="S12" s="41" t="str">
        <x:v>https://openalex.org/A5054975977</x:v>
      </x:c>
      <x:c r="T12" s="41"/>
      <x:c r="U12" s="41"/>
      <x:c r="V12" s="41"/>
      <x:c r="W12" s="41" t="str">
        <x:v>https://ror.org/04whfy367</x:v>
      </x:c>
      <x:c r="X12" s="41"/>
      <x:c r="Y12" s="41" t="str">
        <x:v>https://openalex.org/A5054975977; https://orcid.org/0000-0003-0798-5378; https://doi.org/10.1016/j.solener.2026.114430; https://ror.org/04whfy367</x:v>
      </x:c>
      <x:c r="Z12" s="41" t="str">
        <x:v>role; email; telephone; Google Scholar; Scopus; Web of Science; personal website</x:v>
      </x:c>
      <x:c r="AA12" s="41" t="str">
        <x:v>Synergistic preheating and moderate temperature liquid medium annealing for high performance perovskite solar cells | Heterogeneous graphite felt electrodes decorated with nanostructured graphitic carbon nitride for enhanced redox kinetics in vanadium redox flow batteries | Asymmetric Fluorinated Cyclopenta [2, 1‐b: 3, 4‐b'] Dithiophene‐Based Hole‐Transporting Materials for Perovskite Solar Cell | Surfactant Tween 20 Controlled Perovskite Film Fabricated by Thermal Blade Coating for Efficient Perovskite Solar Cells | Controlled Photoanode Properties for Large-Area Efficient and Stable Dye-Sensitized Photovoltaic Modules</x:v>
      </x:c>
      <x:c r="AB12" s="41" t="str">
        <x:v>10.1016/j.solener.2026.114430; 10.1016/j.jpowsour.2025.239216; 10.1002/asia.202500719; 10.3390/nano12152651; 10.3390/nano11082125</x:v>
      </x:c>
    </x:row>
    <x:row r="13">
      <x:c r="A13" s="41" t="str">
        <x:v>unsynced-leechiahua</x:v>
      </x:c>
      <x:c r="B13" s="41" t="str">
        <x:v>Lee, Chia-Hua</x:v>
      </x:c>
      <x:c r="C13" s="41" t="str">
        <x:v>Chia-Hua Lee</x:v>
      </x:c>
      <x:c r="D13" s="41" t="str">
        <x:v>Lee, Chia-Hua; Chia-Hua Lee</x:v>
      </x:c>
      <x:c r="E13" s="41" t="str">
        <x:v>verified</x:v>
      </x:c>
      <x:c r="F13" s="41" t="str">
        <x:v>ORCID + DOI-constrained OpenAlex match</x:v>
      </x:c>
      <x:c r="G13" s="42" t="str">
        <x:v>1.0</x:v>
      </x:c>
      <x:c r="H13" s="41"/>
      <x:c r="I13" s="43" t="str">
        <x:v>5</x:v>
      </x:c>
      <x:c r="J13" s="43" t="str">
        <x:v>2008</x:v>
      </x:c>
      <x:c r="K13" s="43" t="str">
        <x:v>2012</x:v>
      </x:c>
      <x:c r="L13" s="41"/>
      <x:c r="M13" s="41"/>
      <x:c r="N13" s="41" t="str">
        <x:v>Industrial Technology Research Institute</x:v>
      </x:c>
      <x:c r="O13" s="41"/>
      <x:c r="P13" s="41"/>
      <x:c r="Q13" s="41" t="str">
        <x:v>0000-0003-4229-3027</x:v>
      </x:c>
      <x:c r="R13" s="41"/>
      <x:c r="S13" s="41" t="str">
        <x:v>https://openalex.org/A5001300090</x:v>
      </x:c>
      <x:c r="T13" s="41"/>
      <x:c r="U13" s="41"/>
      <x:c r="V13" s="41"/>
      <x:c r="W13" s="41" t="str">
        <x:v>https://ror.org/02verss31</x:v>
      </x:c>
      <x:c r="X13" s="41" t="str">
        <x:v>http://www.itri.org.tw/</x:v>
      </x:c>
      <x:c r="Y13" s="41" t="str">
        <x:v>https://openalex.org/A5001300090; https://orcid.org/0000-0003-4229-3027; https://doi.org/10.1016/j.jpowsour.2012.05.079; https://ror.org/02verss31; http://www.itri.org.tw/</x:v>
      </x:c>
      <x:c r="Z13" s="41" t="str">
        <x:v>role; email; telephone; Google Scholar; Scopus; Web of Science</x:v>
      </x:c>
      <x:c r="AA13" s="41" t="str">
        <x:v>Ionic liquid diffusion properties in tetrapod-like ZnO photoanode for dye-sensitized solar cells | Improved performance of flexible dye-sensitized solar cells by introducing an interfacial layer on Ti substrates | The influence of tetrapod-like ZnO morphology and electrolytes on energy conversion efficiency of dye-sensitized solar cells | Efficient electron transport in tetrapod-like ZnO metal-free dye-sensitized solar cells | Formation of branched ZnO nanowires from solvothermal method and dye-sensitized solar cells applications</x:v>
      </x:c>
      <x:c r="AB13" s="41" t="str">
        <x:v>10.1016/j.jpowsour.2012.05.079; 10.1039/C0JM04099A; 10.1016/j.electacta.2010.07.061; 10.1039/B902595M; 10.1021/jp805239k</x:v>
      </x:c>
    </x:row>
    <x:row r="14">
      <x:c r="A14" s="41" t="str">
        <x:v>unsynced-liaukangling</x:v>
      </x:c>
      <x:c r="B14" s="41" t="str">
        <x:v>Liau, Kang-Ling</x:v>
      </x:c>
      <x:c r="C14" s="41" t="str">
        <x:v>Kang-Ling Liau</x:v>
      </x:c>
      <x:c r="D14" s="41" t="str">
        <x:v>Liau, Kang-Ling; Kang-Ling Liau</x:v>
      </x:c>
      <x:c r="E14" s="41" t="str">
        <x:v>verified</x:v>
      </x:c>
      <x:c r="F14" s="41" t="str">
        <x:v>DOI-constrained OpenAlex match</x:v>
      </x:c>
      <x:c r="G14" s="42" t="str">
        <x:v>1.0</x:v>
      </x:c>
      <x:c r="H14" s="41"/>
      <x:c r="I14" s="43" t="str">
        <x:v>5</x:v>
      </x:c>
      <x:c r="J14" s="43" t="str">
        <x:v>2023</x:v>
      </x:c>
      <x:c r="K14" s="43" t="str">
        <x:v>2025</x:v>
      </x:c>
      <x:c r="L14" s="41"/>
      <x:c r="M14" s="41"/>
      <x:c r="N14" s="41" t="str">
        <x:v>Department of Chemistry National Central University Taoyuan 32001 Taiwan</x:v>
      </x:c>
      <x:c r="O14" s="41"/>
      <x:c r="P14" s="41"/>
      <x:c r="Q14" s="41"/>
      <x:c r="R14" s="41"/>
      <x:c r="S14" s="41" t="str">
        <x:v>https://openalex.org/A5050364464</x:v>
      </x:c>
      <x:c r="T14" s="41"/>
      <x:c r="U14" s="41"/>
      <x:c r="V14" s="41"/>
      <x:c r="W14" s="41" t="str">
        <x:v>https://ror.org/00944ve71</x:v>
      </x:c>
      <x:c r="X14" s="41"/>
      <x:c r="Y14" s="41" t="str">
        <x:v>https://openalex.org/A5050364464; https://doi.org/10.1002/asia.202500719; https://ror.org/00944ve71</x:v>
      </x:c>
      <x:c r="Z14" s="41" t="str">
        <x:v>role; email; telephone; orcid; Google Scholar; Scopus; Web of Science; personal website</x:v>
      </x:c>
      <x:c r="AA14" s="41" t="str">
        <x:v>Asymmetric Fluorinated Cyclopenta [2, 1‐b: 3, 4‐b'] Dithiophene‐Based Hole‐Transporting Materials for Perovskite Solar Cell | Judicious Molecular Design of 5H‑Dithieno[3,2‑b:2′,3′‑d]Pyran-based Hole-Transporting Materials for Highly Efficient and Stable Perovskite Solar Cells | Fluorination of Star-Shaped Cyclopenta[2,1-b;3,4-b′]dithiophene Derivatives and Its Application as Hole-Transporting Materials in Scalable Perovskite Solar Cell Fabrication by Bar Coating | Fluorination on cyclopentadithiophene-based hole-transport material for high-performance perovskite solar cells | Facile synthesis of spiro-core-based hole-transporting material for high-performance and stable perovskite solar cells</x:v>
      </x:c>
      <x:c r="AB14" s="41" t="str">
        <x:v>10.1002/asia.202500719; 10.1002/advs.202410666; 10.1002/solr.202300988; 10.1039/D3CC04699K; 10.1016/j.cej.2022.139926</x:v>
      </x:c>
    </x:row>
    <x:row r="15">
      <x:c r="A15" s="41" t="str">
        <x:v>unsynced-lushihi</x:v>
      </x:c>
      <x:c r="B15" s="41" t="str">
        <x:v>Lu, Shih-I</x:v>
      </x:c>
      <x:c r="C15" s="41" t="str">
        <x:v>Shih-I Lu</x:v>
      </x:c>
      <x:c r="D15" s="41" t="str">
        <x:v>Lu, Shih-I; Shih-I Lu; S -I Lu</x:v>
      </x:c>
      <x:c r="E15" s="41" t="str">
        <x:v>verified</x:v>
      </x:c>
      <x:c r="F15" s="41" t="str">
        <x:v>ORCID + DOI-constrained OpenAlex match</x:v>
      </x:c>
      <x:c r="G15" s="42" t="str">
        <x:v>1.0</x:v>
      </x:c>
      <x:c r="H15" s="41"/>
      <x:c r="I15" s="43" t="str">
        <x:v>5</x:v>
      </x:c>
      <x:c r="J15" s="43" t="str">
        <x:v>2023</x:v>
      </x:c>
      <x:c r="K15" s="43" t="str">
        <x:v>2025</x:v>
      </x:c>
      <x:c r="L15" s="41"/>
      <x:c r="M15" s="41"/>
      <x:c r="N15" s="41" t="str">
        <x:v>Department of Chemistry Soochow University Taipei 11102 Taiwan</x:v>
      </x:c>
      <x:c r="O15" s="41"/>
      <x:c r="P15" s="41"/>
      <x:c r="Q15" s="41" t="str">
        <x:v>0000-0001-7508-2088</x:v>
      </x:c>
      <x:c r="R15" s="41"/>
      <x:c r="S15" s="41" t="str">
        <x:v>https://openalex.org/A5082345844</x:v>
      </x:c>
      <x:c r="T15" s="41"/>
      <x:c r="U15" s="41"/>
      <x:c r="V15" s="41"/>
      <x:c r="W15" s="41" t="str">
        <x:v>https://ror.org/05kvm7n82</x:v>
      </x:c>
      <x:c r="X15" s="41"/>
      <x:c r="Y15" s="41" t="str">
        <x:v>https://openalex.org/A5082345844; https://orcid.org/0000-0001-7508-2088; https://doi.org/10.1002/asia.202500719; https://ror.org/05kvm7n82</x:v>
      </x:c>
      <x:c r="Z15" s="41" t="str">
        <x:v>role; email; telephone; Google Scholar; Scopus; Web of Science; personal website</x:v>
      </x:c>
      <x:c r="AA15" s="41" t="str">
        <x:v>Asymmetric Fluorinated Cyclopenta [2, 1‐b: 3, 4‐b'] Dithiophene‐Based Hole‐Transporting Materials for Perovskite Solar Cell | Judicious Molecular Design of 5H‑Dithieno[3,2‑b:2′,3′‑d]Pyran-based Hole-Transporting Materials for Highly Efficient and Stable Perovskite Solar Cells | Fluorination of Star-Shaped Cyclopenta[2,1-b;3,4-b′]dithiophene Derivatives and Its Application as Hole-Transporting Materials in Scalable Perovskite Solar Cell Fabrication by Bar Coating | Fluorination on cyclopentadithiophene-based hole-transport material for high-performance perovskite solar cells | Fluorinated Pentafulvalene‐Fused Hole‐Transporting Material Enhances the Performance of Perovskite Solar Cells with Efficiency Exceeding 23%</x:v>
      </x:c>
      <x:c r="AB15" s="41" t="str">
        <x:v>10.1002/asia.202500719; 10.1002/advs.202410666; 10.1002/solr.202300988; 10.1039/D3CC04699K; 10.1002/adfm.202306367</x:v>
      </x:c>
    </x:row>
    <x:row r="16">
      <x:c r="A16" s="41" t="str">
        <x:v>unsynced-taoyutai</x:v>
      </x:c>
      <x:c r="B16" s="41" t="str">
        <x:v>Tao, Yu-Tai</x:v>
      </x:c>
      <x:c r="C16" s="41" t="str">
        <x:v>Yu-Tai Tao</x:v>
      </x:c>
      <x:c r="D16" s="41" t="str">
        <x:v>Tao, Yu-Tai; Yu-Tai Tao; Tao, Y.-T.; Y. T. Tao</x:v>
      </x:c>
      <x:c r="E16" s="41" t="str">
        <x:v>verified</x:v>
      </x:c>
      <x:c r="F16" s="41" t="str">
        <x:v>ORCID + DOI-constrained OpenAlex match</x:v>
      </x:c>
      <x:c r="G16" s="42" t="str">
        <x:v>1.0</x:v>
      </x:c>
      <x:c r="H16" s="41"/>
      <x:c r="I16" s="43" t="str">
        <x:v>5</x:v>
      </x:c>
      <x:c r="J16" s="43" t="str">
        <x:v>2022</x:v>
      </x:c>
      <x:c r="K16" s="43" t="str">
        <x:v>2025</x:v>
      </x:c>
      <x:c r="L16" s="41" t="str">
        <x:v>Distinguished Chair Professor</x:v>
      </x:c>
      <x:c r="M16" s="41" t="str">
        <x:v>Distinguished Chair Professor</x:v>
      </x:c>
      <x:c r="N16" s="41" t="str">
        <x:v>Institute of Chemistry, Academia Sinica</x:v>
      </x:c>
      <x:c r="O16" s="41"/>
      <x:c r="P16" s="41"/>
      <x:c r="Q16" s="41" t="str">
        <x:v>0000-0003-4507-0419</x:v>
      </x:c>
      <x:c r="R16" s="41" t="str">
        <x:v>https://scholar.google.com/citations?user=rU0FZgkAAAAJ&amp;hl=zh-TW</x:v>
      </x:c>
      <x:c r="S16" s="41" t="str">
        <x:v>https://openalex.org/A5088139396</x:v>
      </x:c>
      <x:c r="T16" s="41"/>
      <x:c r="U16" s="41"/>
      <x:c r="V16" s="41" t="str">
        <x:v>http://www.researcherid.com/rid/E-7134-2015</x:v>
      </x:c>
      <x:c r="W16" s="41" t="str">
        <x:v>https://ror.org/04xjjma71</x:v>
      </x:c>
      <x:c r="X16" s="41"/>
      <x:c r="Y16" s="41" t="str">
        <x:v>https://openalex.org/A5088139396; https://orcid.org/0000-0003-4507-0419; https://doi.org/10.1002/advs.202410666; https://ror.org/04xjjma71</x:v>
      </x:c>
      <x:c r="Z16" s="41" t="str">
        <x:v>email; telephone; Scopus; personal website</x:v>
      </x:c>
      <x:c r="AA16" s="41" t="str">
        <x:v>Judicious Molecular Design of 5H‑Dithieno[3,2‑b:2′,3′‑d]Pyran-based Hole-Transporting Materials for Highly Efficient and Stable Perovskite Solar Cells | Fluorination of Star-Shaped Cyclopenta[2,1-b;3,4-b′]dithiophene Derivatives and Its Application as Hole-Transporting Materials in Scalable Perovskite Solar Cell Fabrication by Bar Coating | Fluorination on cyclopentadithiophene-based hole-transport material for high-performance perovskite solar cells | Facile synthesis of spiro-core-based hole-transporting material for high-performance and stable perovskite solar cells | High-performance perovskite solar cells based on dopant-free hole-transporting material fabricated by a thermal-assisted blade-coating method with efficiency exceeding 21%</x:v>
      </x:c>
      <x:c r="AB16" s="41" t="str">
        <x:v>10.1002/advs.202410666; 10.1002/solr.202300988; 10.1039/D3CC04699K; 10.1016/j.cej.2022.139926; 10.1016/j.cej.2021.131609</x:v>
      </x:c>
    </x:row>
    <x:row r="17">
      <x:c r="A17" s="41" t="str">
        <x:v>unsynced-chenghsinming</x:v>
      </x:c>
      <x:c r="B17" s="41" t="str">
        <x:v>Cheng, Hsin-Ming</x:v>
      </x:c>
      <x:c r="C17" s="41" t="str">
        <x:v>Hsin-Ming Cheng</x:v>
      </x:c>
      <x:c r="D17" s="41" t="str">
        <x:v>Cheng, Hsin-Ming; Hsin-Ming Cheng; H. M. Cheng</x:v>
      </x:c>
      <x:c r="E17" s="41" t="str">
        <x:v>verified</x:v>
      </x:c>
      <x:c r="F17" s="41" t="str">
        <x:v>ORCID + DOI-constrained OpenAlex match</x:v>
      </x:c>
      <x:c r="G17" s="42" t="str">
        <x:v>1.0</x:v>
      </x:c>
      <x:c r="H17" s="41"/>
      <x:c r="I17" s="43" t="str">
        <x:v>4</x:v>
      </x:c>
      <x:c r="J17" s="43" t="str">
        <x:v>2008</x:v>
      </x:c>
      <x:c r="K17" s="43" t="str">
        <x:v>2023</x:v>
      </x:c>
      <x:c r="L17" s="41"/>
      <x:c r="M17" s="41"/>
      <x:c r="N17" s="41" t="str">
        <x:v>Department of Photonics and Institute of Electro-Optical Engineering, National Chiao Tung University, 1001 Tahsueh Road., Hsinchu 30050, Taiwan, Republic of China, and Photovoltaics Technology Center, Industrial Technology Research Institute, Hsinchu 310, Taiwan, Republic of China</x:v>
      </x:c>
      <x:c r="O17" s="41"/>
      <x:c r="P17" s="41"/>
      <x:c r="Q17" s="41" t="str">
        <x:v>0000-0002-6025-0154</x:v>
      </x:c>
      <x:c r="R17" s="41" t="str">
        <x:v>https://scholar.google.com/citations?user=H3MBI8EAAAAJ&amp;hl=zh-TW</x:v>
      </x:c>
      <x:c r="S17" s="41" t="str">
        <x:v>https://openalex.org/A5103077826</x:v>
      </x:c>
      <x:c r="T17" s="41"/>
      <x:c r="U17" s="41"/>
      <x:c r="V17" s="41"/>
      <x:c r="W17" s="41" t="str">
        <x:v>https://ror.org/00ex2js61</x:v>
      </x:c>
      <x:c r="X17" s="41"/>
      <x:c r="Y17" s="41" t="str">
        <x:v>https://openalex.org/A5103077826; https://orcid.org/0000-0002-6025-0154; https://doi.org/10.1016/j.orgel.2023.106847; https://ror.org/00ex2js61</x:v>
      </x:c>
      <x:c r="Z17" s="41" t="str">
        <x:v>role; email; telephone; Scopus; Web of Science; personal website</x:v>
      </x:c>
      <x:c r="AA17" s="41" t="str">
        <x:v>Enhancing efficiency and stability of perovskite solar cells through two-step deposition method with the addition of cesium halides to PbI2 precursor | Ionic liquid diffusion properties in tetrapod-like ZnO photoanode for dye-sensitized solar cells | Efficient electron transport in tetrapod-like ZnO metal-free dye-sensitized solar cells | Formation of branched ZnO nanowires from solvothermal method and dye-sensitized solar cells applications</x:v>
      </x:c>
      <x:c r="AB17" s="41" t="str">
        <x:v>10.1016/j.orgel.2023.106847; 10.1016/j.jpowsour.2012.05.079; 10.1039/B902595M; 10.1021/jp805239k</x:v>
      </x:c>
    </x:row>
    <x:row r="18">
      <x:c r="A18" s="41" t="str">
        <x:v>unsynced-liuchingyuan</x:v>
      </x:c>
      <x:c r="B18" s="41" t="str">
        <x:v>Liu, Ching-Yuan</x:v>
      </x:c>
      <x:c r="C18" s="41" t="str">
        <x:v>Ching-Yuan Liu</x:v>
      </x:c>
      <x:c r="D18" s="41" t="str">
        <x:v>Liu, Ching-Yuan; Ching-Yuan Liu</x:v>
      </x:c>
      <x:c r="E18" s="41" t="str">
        <x:v>verified</x:v>
      </x:c>
      <x:c r="F18" s="41" t="str">
        <x:v>ORCID + DOI-constrained OpenAlex match</x:v>
      </x:c>
      <x:c r="G18" s="42" t="str">
        <x:v>1.0</x:v>
      </x:c>
      <x:c r="H18" s="41"/>
      <x:c r="I18" s="43" t="str">
        <x:v>4</x:v>
      </x:c>
      <x:c r="J18" s="43" t="str">
        <x:v>2021</x:v>
      </x:c>
      <x:c r="K18" s="43" t="str">
        <x:v>2026</x:v>
      </x:c>
      <x:c r="L18" s="41"/>
      <x:c r="M18" s="41"/>
      <x:c r="N18" s="41" t="str">
        <x:v>Chemical and Materials Engineering, National Central University</x:v>
      </x:c>
      <x:c r="O18" s="41"/>
      <x:c r="P18" s="41"/>
      <x:c r="Q18" s="41" t="str">
        <x:v>0000-0002-2569-8535</x:v>
      </x:c>
      <x:c r="R18" s="41"/>
      <x:c r="S18" s="41" t="str">
        <x:v>https://openalex.org/A5001310604</x:v>
      </x:c>
      <x:c r="T18" s="41"/>
      <x:c r="U18" s="41"/>
      <x:c r="V18" s="41"/>
      <x:c r="W18" s="41" t="str">
        <x:v>https://ror.org/00944ve71</x:v>
      </x:c>
      <x:c r="X18" s="41"/>
      <x:c r="Y18" s="41" t="str">
        <x:v>https://openalex.org/A5001310604; https://orcid.org/0000-0002-2569-8535; https://doi.org/10.1016/j.solener.2026.114430; https://ror.org/00944ve71</x:v>
      </x:c>
      <x:c r="Z18" s="41" t="str">
        <x:v>role; email; telephone; Google Scholar; Scopus; Web of Science; personal website</x:v>
      </x:c>
      <x:c r="AA18" s="41" t="str">
        <x:v>Synergistic preheating and moderate temperature liquid medium annealing for high performance perovskite solar cells | New Molecular Design, Step‐Saving Synthesis, and Applications of Indolocarbazole Core‐Based Oligo (hetero) arenes | Surfactant Tween 20 Controlled Perovskite Film Fabricated by Thermal Blade Coating for Efficient Perovskite Solar Cells | Reducing defects in organic-lead halide perovskite film by delayed thermal annealing combined with KI/I2 for efficient perovskite solar cells</x:v>
      </x:c>
      <x:c r="AB18" s="41" t="str">
        <x:v>10.1016/j.solener.2026.114430; 10.1002/asia.202300681; 10.3390/nano12152651; 10.3390/nano11061607</x:v>
      </x:c>
    </x:row>
    <x:row r="19">
      <x:c r="A19" s="41" t="str">
        <x:v>unsynced-adugnagizachewbelay</x:v>
      </x:c>
      <x:c r="B19" s="41" t="str">
        <x:v>Adugna, Gizachew Belay</x:v>
      </x:c>
      <x:c r="C19" s="41" t="str">
        <x:v>Gizachew Belay Adugna</x:v>
      </x:c>
      <x:c r="D19" s="41" t="str">
        <x:v>Adugna, Gizachew Belay; Gizachew Belay Adugna</x:v>
      </x:c>
      <x:c r="E19" s="41" t="str">
        <x:v>verified</x:v>
      </x:c>
      <x:c r="F19" s="41" t="str">
        <x:v>ORCID + DOI-constrained OpenAlex match</x:v>
      </x:c>
      <x:c r="G19" s="42" t="str">
        <x:v>1.0</x:v>
      </x:c>
      <x:c r="H19" s="41"/>
      <x:c r="I19" s="43" t="str">
        <x:v>3</x:v>
      </x:c>
      <x:c r="J19" s="43" t="str">
        <x:v>2023</x:v>
      </x:c>
      <x:c r="K19" s="43" t="str">
        <x:v>2024</x:v>
      </x:c>
      <x:c r="L19" s="41" t="str">
        <x:v>Postdoctoral fellow</x:v>
      </x:c>
      <x:c r="M19" s="41" t="str">
        <x:v>Postdoctoral fellow</x:v>
      </x:c>
      <x:c r="N19" s="41" t="str">
        <x:v>Department of chemistry, Soochow University</x:v>
      </x:c>
      <x:c r="O19" s="41"/>
      <x:c r="P19" s="41"/>
      <x:c r="Q19" s="41" t="str">
        <x:v>0000-0003-0217-6205</x:v>
      </x:c>
      <x:c r="R19" s="41" t="str">
        <x:v>https://scholar.google.com/citations?user=s5jm77kAAAAJ&amp;hl=zh-TW</x:v>
      </x:c>
      <x:c r="S19" s="41" t="str">
        <x:v>https://openalex.org/A5086482996</x:v>
      </x:c>
      <x:c r="T19" s="41"/>
      <x:c r="U19" s="41"/>
      <x:c r="V19" s="41"/>
      <x:c r="W19" s="41" t="str">
        <x:v>https://ror.org/05kvm7n82</x:v>
      </x:c>
      <x:c r="X19" s="41"/>
      <x:c r="Y19" s="41" t="str">
        <x:v>https://openalex.org/A5086482996; https://orcid.org/0000-0003-0217-6205; https://doi.org/10.1002/solr.202300988; https://ror.org/05kvm7n82</x:v>
      </x:c>
      <x:c r="Z19" s="41" t="str">
        <x:v>email; telephone; Scopus; Web of Science; personal website</x:v>
      </x:c>
      <x:c r="AA19" s="41" t="str">
        <x:v>Fluorination of Star-Shaped Cyclopenta[2,1-b;3,4-b′]dithiophene Derivatives and Its Application as Hole-Transporting Materials in Scalable Perovskite Solar Cell Fabrication by Bar Coating | Fluorination on cyclopentadithiophene-based hole-transport material for high-performance perovskite solar cells | Fluorinated Pentafulvalene‐Fused Hole‐Transporting Material Enhances the Performance of Perovskite Solar Cells with Efficiency Exceeding 23%</x:v>
      </x:c>
      <x:c r="AB19" s="41" t="str">
        <x:v>10.1002/solr.202300988; 10.1039/D3CC04699K; 10.1002/adfm.202306367</x:v>
      </x:c>
    </x:row>
    <x:row r="20">
      <x:c r="A20" s="41" t="str">
        <x:v>unsynced-hokuochuan</x:v>
      </x:c>
      <x:c r="B20" s="41" t="str">
        <x:v>Ho, Kuo-Chuan</x:v>
      </x:c>
      <x:c r="C20" s="41" t="str">
        <x:v>Kuo-Chuan Ho</x:v>
      </x:c>
      <x:c r="D20" s="41" t="str">
        <x:v>Ho, Kuo-Chuan; Kuo-Chuan Ho; Ho, K.; K C Ho; K HO</x:v>
      </x:c>
      <x:c r="E20" s="41" t="str">
        <x:v>verified</x:v>
      </x:c>
      <x:c r="F20" s="41" t="str">
        <x:v>ORCID + DOI-constrained OpenAlex match</x:v>
      </x:c>
      <x:c r="G20" s="42" t="str">
        <x:v>1.0</x:v>
      </x:c>
      <x:c r="H20" s="41"/>
      <x:c r="I20" s="43" t="str">
        <x:v>3</x:v>
      </x:c>
      <x:c r="J20" s="43" t="str">
        <x:v>2009</x:v>
      </x:c>
      <x:c r="K20" s="43" t="str">
        <x:v>2025</x:v>
      </x:c>
      <x:c r="L20" s="41"/>
      <x:c r="M20" s="41"/>
      <x:c r="N20" s="41" t="str">
        <x:v>Department of Chemical Engineering Institute of Polymer Science and Engineering and Advanced Research Center for Green Materials Science and Technology National Taiwan University Taipei Taiwan</x:v>
      </x:c>
      <x:c r="O20" s="41"/>
      <x:c r="P20" s="41"/>
      <x:c r="Q20" s="41" t="str">
        <x:v>0000-0001-7501-1271</x:v>
      </x:c>
      <x:c r="R20" s="41" t="str">
        <x:v>https://scholar.google.com/citations?user=h7cFu_wAAAAJ&amp;hl=zh-TW</x:v>
      </x:c>
      <x:c r="S20" s="41" t="str">
        <x:v>https://openalex.org/A5051193004</x:v>
      </x:c>
      <x:c r="T20" s="41"/>
      <x:c r="U20" s="41" t="str">
        <x:v>https://www.scopus.com/authid/detail.uri?authorId=56962715200</x:v>
      </x:c>
      <x:c r="V20" s="41"/>
      <x:c r="W20" s="41" t="str">
        <x:v>http://research.mc.ntu.edu.tw/web/Teacher!one.action?tid=1884</x:v>
      </x:c>
      <x:c r="X20" s="41"/>
      <x:c r="Y20" s="41" t="str">
        <x:v>https://openalex.org/A5051193004; https://orcid.org/0000-0001-7501-1271; https://doi.org/10.1002/solr.202500538; http://research.mc.ntu.edu.tw/web/Teacher!one.action?tid=1884</x:v>
      </x:c>
      <x:c r="Z20" s="41" t="str">
        <x:v>role; email; telephone; Web of Science; personal website</x:v>
      </x:c>
      <x:c r="AA20" s="41" t="str">
        <x:v>Round-Robin Interlaboratory Comparison of Large-Area Organic Thin-Film and Perovskite Solar Cells | Effects of mesoscopic poly (3, 4-ethylenedioxythiophene) films as counter electrodes for dye-sensitized solar cells | Dye-sensitized solar cells with a micro-porous TiO2 electrode and gel polymer electrolytes prepared by in situ cross-link reaction</x:v>
      </x:c>
      <x:c r="AB20" s="41" t="str">
        <x:v>10.1002/solr.202500538; 10.1016/j.tsf.2009.11.058; 10.1016/j.solmat.2009.07.017</x:v>
      </x:c>
    </x:row>
    <x:row r="21">
      <x:c r="A21" s="41" t="str">
        <x:v>unsynced-huchihwei</x:v>
      </x:c>
      <x:c r="B21" s="41" t="str">
        <x:v>Hu, Chih-Wei</x:v>
      </x:c>
      <x:c r="C21" s="41" t="str">
        <x:v>Chih-Wei Hu</x:v>
      </x:c>
      <x:c r="D21" s="41" t="str">
        <x:v>Hu, Chih-Wei; Chih-Wei Hu; C HU; C. W. Hu</x:v>
      </x:c>
      <x:c r="E21" s="41" t="str">
        <x:v>verified</x:v>
      </x:c>
      <x:c r="F21" s="41" t="str">
        <x:v>ORCID + DOI-constrained OpenAlex match</x:v>
      </x:c>
      <x:c r="G21" s="42" t="str">
        <x:v>1.0</x:v>
      </x:c>
      <x:c r="H21" s="41"/>
      <x:c r="I21" s="43" t="str">
        <x:v>3</x:v>
      </x:c>
      <x:c r="J21" s="43" t="str">
        <x:v>2010</x:v>
      </x:c>
      <x:c r="K21" s="43" t="str">
        <x:v>2025</x:v>
      </x:c>
      <x:c r="L21" s="41" t="str">
        <x:v>Researcher</x:v>
      </x:c>
      <x:c r="M21" s="41" t="str">
        <x:v>Researcher</x:v>
      </x:c>
      <x:c r="N21" s="41" t="str">
        <x:v>Structural Materials Research Institute, National Institute of Advanced Industrial Science and Technology</x:v>
      </x:c>
      <x:c r="O21" s="41"/>
      <x:c r="P21" s="41"/>
      <x:c r="Q21" s="41" t="str">
        <x:v>0000-0001-9200-4444</x:v>
      </x:c>
      <x:c r="R21" s="41" t="str">
        <x:v>https://scholar.google.com/citations?user=wylpTR0AAAAJ&amp;hl=zh-TW</x:v>
      </x:c>
      <x:c r="S21" s="41" t="str">
        <x:v>https://openalex.org/A5027963671</x:v>
      </x:c>
      <x:c r="T21" s="41"/>
      <x:c r="U21" s="41" t="str">
        <x:v>https://www.scopus.com/authid/detail.uri?authorId=8392615600</x:v>
      </x:c>
      <x:c r="V21" s="41" t="str">
        <x:v>http://www.researcherid.com/rid/H-8099-2018</x:v>
      </x:c>
      <x:c r="W21" s="41" t="str">
        <x:v>https://ror.org/0064kty71</x:v>
      </x:c>
      <x:c r="X21" s="41" t="str">
        <x:v>https://www.researchgate.net/profile/Chih-Wei_Hu</x:v>
      </x:c>
      <x:c r="Y21" s="41" t="str">
        <x:v>https://openalex.org/A5027963671; https://orcid.org/0000-0001-9200-4444; https://doi.org/10.1002/asia.202500719; https://ror.org/0064kty71; https://www.researchgate.net/profile/Chih-Wei_Hu</x:v>
      </x:c>
      <x:c r="Z21" s="41" t="str">
        <x:v>email; telephone</x:v>
      </x:c>
      <x:c r="AA21" s="41" t="str">
        <x:v>Asymmetric Fluorinated Cyclopenta [2, 1‐b: 3, 4‐b'] Dithiophene‐Based Hole‐Transporting Materials for Perovskite Solar Cell | Fluorination of Star-Shaped Cyclopenta[2,1-b;3,4-b′]dithiophene Derivatives and Its Application as Hole-Transporting Materials in Scalable Perovskite Solar Cell Fabrication by Bar Coating | Effects of mesoscopic poly (3, 4-ethylenedioxythiophene) films as counter electrodes for dye-sensitized solar cells</x:v>
      </x:c>
      <x:c r="AB21" s="41" t="str">
        <x:v>10.1002/asia.202500719; 10.1002/solr.202300988; 10.1016/j.tsf.2009.11.058</x:v>
      </x:c>
    </x:row>
    <x:row r="22">
      <x:c r="A22" s="41" t="str">
        <x:v>unsynced-linchiahui</x:v>
      </x:c>
      <x:c r="B22" s="41" t="str">
        <x:v>Lin, Chia-Hui</x:v>
      </x:c>
      <x:c r="C22" s="41" t="str">
        <x:v>Chia-Hui Lin</x:v>
      </x:c>
      <x:c r="D22" s="41" t="str">
        <x:v>Lin, Chia-Hui; Chia-Hui Lin; C H Lin</x:v>
      </x:c>
      <x:c r="E22" s="41" t="str">
        <x:v>verified</x:v>
      </x:c>
      <x:c r="F22" s="41" t="str">
        <x:v>DOI-constrained OpenAlex match</x:v>
      </x:c>
      <x:c r="G22" s="42" t="str">
        <x:v>1.0</x:v>
      </x:c>
      <x:c r="H22" s="41"/>
      <x:c r="I22" s="43" t="str">
        <x:v>3</x:v>
      </x:c>
      <x:c r="J22" s="43" t="str">
        <x:v>2024</x:v>
      </x:c>
      <x:c r="K22" s="43" t="str">
        <x:v>2025</x:v>
      </x:c>
      <x:c r="L22" s="41"/>
      <x:c r="M22" s="41"/>
      <x:c r="N22" s="41" t="str">
        <x:v>Department of Chemistry Soochow University Taipei 11102 Taiwan</x:v>
      </x:c>
      <x:c r="O22" s="41"/>
      <x:c r="P22" s="41"/>
      <x:c r="Q22" s="41"/>
      <x:c r="R22" s="41"/>
      <x:c r="S22" s="41" t="str">
        <x:v>https://openalex.org/A5103379062</x:v>
      </x:c>
      <x:c r="T22" s="41"/>
      <x:c r="U22" s="41"/>
      <x:c r="V22" s="41"/>
      <x:c r="W22" s="41" t="str">
        <x:v>https://ror.org/009knm296</x:v>
      </x:c>
      <x:c r="X22" s="41"/>
      <x:c r="Y22" s="41" t="str">
        <x:v>https://openalex.org/A5103379062; https://doi.org/10.1002/asia.202500719; https://ror.org/009knm296</x:v>
      </x:c>
      <x:c r="Z22" s="41" t="str">
        <x:v>role; email; telephone; orcid; Google Scholar; Scopus; Web of Science; personal website</x:v>
      </x:c>
      <x:c r="AA22" s="41" t="str">
        <x:v>Asymmetric Fluorinated Cyclopenta [2, 1‐b: 3, 4‐b'] Dithiophene‐Based Hole‐Transporting Materials for Perovskite Solar Cell | Judicious Molecular Design of 5H‑Dithieno[3,2‑b:2′,3′‑d]Pyran-based Hole-Transporting Materials for Highly Efficient and Stable Perovskite Solar Cells | Fluorination of Star-Shaped Cyclopenta[2,1-b;3,4-b′]dithiophene Derivatives and Its Application as Hole-Transporting Materials in Scalable Perovskite Solar Cell Fabrication by Bar Coating</x:v>
      </x:c>
      <x:c r="AB22" s="41" t="str">
        <x:v>10.1002/asia.202500719; 10.1002/advs.202410666; 10.1002/solr.202300988</x:v>
      </x:c>
    </x:row>
    <x:row r="23">
      <x:c r="A23" s="41" t="str">
        <x:v>unsynced-liuyunshuo</x:v>
      </x:c>
      <x:c r="B23" s="41" t="str">
        <x:v>Liu, Yun-Shuo</x:v>
      </x:c>
      <x:c r="C23" s="41" t="str">
        <x:v>Yun-Shuo Liu</x:v>
      </x:c>
      <x:c r="D23" s="41" t="str">
        <x:v>Liu, Yun-Shuo; Yun-Shuo Liu</x:v>
      </x:c>
      <x:c r="E23" s="41" t="str">
        <x:v>verified</x:v>
      </x:c>
      <x:c r="F23" s="41" t="str">
        <x:v>DOI-constrained OpenAlex match</x:v>
      </x:c>
      <x:c r="G23" s="42" t="str">
        <x:v>1.0</x:v>
      </x:c>
      <x:c r="H23" s="41"/>
      <x:c r="I23" s="43" t="str">
        <x:v>3</x:v>
      </x:c>
      <x:c r="J23" s="43" t="str">
        <x:v>2024</x:v>
      </x:c>
      <x:c r="K23" s="43" t="str">
        <x:v>2025</x:v>
      </x:c>
      <x:c r="L23" s="41"/>
      <x:c r="M23" s="41"/>
      <x:c r="N23" s="41" t="str">
        <x:v>Department of Chemistry Soochow University Taipei 11102 Taiwan</x:v>
      </x:c>
      <x:c r="O23" s="41"/>
      <x:c r="P23" s="41"/>
      <x:c r="Q23" s="41"/>
      <x:c r="R23" s="41"/>
      <x:c r="S23" s="41" t="str">
        <x:v>https://openalex.org/A5109677492</x:v>
      </x:c>
      <x:c r="T23" s="41"/>
      <x:c r="U23" s="41"/>
      <x:c r="V23" s="41"/>
      <x:c r="W23" s="41" t="str">
        <x:v>https://ror.org/05kvm7n82</x:v>
      </x:c>
      <x:c r="X23" s="41"/>
      <x:c r="Y23" s="41" t="str">
        <x:v>https://openalex.org/A5109677492; https://doi.org/10.1002/asia.202500719; https://ror.org/05kvm7n82</x:v>
      </x:c>
      <x:c r="Z23" s="41" t="str">
        <x:v>role; email; telephone; orcid; Google Scholar; Scopus; Web of Science; personal website</x:v>
      </x:c>
      <x:c r="AA23" s="41" t="str">
        <x:v>Asymmetric Fluorinated Cyclopenta [2, 1‐b: 3, 4‐b'] Dithiophene‐Based Hole‐Transporting Materials for Perovskite Solar Cell | Judicious Molecular Design of 5H‑Dithieno[3,2‑b:2′,3′‑d]Pyran-based Hole-Transporting Materials for Highly Efficient and Stable Perovskite Solar Cells | Fluorination of Star-Shaped Cyclopenta[2,1-b;3,4-b′]dithiophene Derivatives and Its Application as Hole-Transporting Materials in Scalable Perovskite Solar Cell Fabrication by Bar Coating</x:v>
      </x:c>
      <x:c r="AB23" s="41" t="str">
        <x:v>10.1002/asia.202500719; 10.1002/advs.202410666; 10.1002/solr.202300988</x:v>
      </x:c>
    </x:row>
    <x:row r="24">
      <x:c r="A24" s="41" t="str">
        <x:v>unsynced-raoharinisrikanth</x:v>
      </x:c>
      <x:c r="B24" s="41" t="str">
        <x:v>Rao, Harini Srikanth</x:v>
      </x:c>
      <x:c r="C24" s="41" t="str">
        <x:v>Harini Srikanth Rao</x:v>
      </x:c>
      <x:c r="D24" s="41" t="str">
        <x:v>Rao, Harini Srikanth; Harini Srikanth Rao; H Rao</x:v>
      </x:c>
      <x:c r="E24" s="41" t="str">
        <x:v>verified</x:v>
      </x:c>
      <x:c r="F24" s="41" t="str">
        <x:v>DOI-constrained OpenAlex match</x:v>
      </x:c>
      <x:c r="G24" s="42" t="str">
        <x:v>0.98</x:v>
      </x:c>
      <x:c r="H24" s="41"/>
      <x:c r="I24" s="43" t="str">
        <x:v>3</x:v>
      </x:c>
      <x:c r="J24" s="43" t="str">
        <x:v>2026</x:v>
      </x:c>
      <x:c r="K24" s="43" t="str">
        <x:v>2026</x:v>
      </x:c>
      <x:c r="L24" s="41"/>
      <x:c r="M24" s="41"/>
      <x:c r="N24" s="41" t="str">
        <x:v>Chang Gung University</x:v>
      </x:c>
      <x:c r="O24" s="41"/>
      <x:c r="P24" s="41"/>
      <x:c r="Q24" s="41"/>
      <x:c r="R24" s="41" t="str">
        <x:v>https://scholar.google.com/citations?user=U7YSdAUAAAAJ&amp;hl=zh-TW</x:v>
      </x:c>
      <x:c r="S24" s="41" t="str">
        <x:v>https://openalex.org/A5109226325</x:v>
      </x:c>
      <x:c r="T24" s="41"/>
      <x:c r="U24" s="41"/>
      <x:c r="V24" s="41"/>
      <x:c r="W24" s="41" t="str">
        <x:v>https://ror.org/00d80zx46</x:v>
      </x:c>
      <x:c r="X24" s="41"/>
      <x:c r="Y24" s="41" t="str">
        <x:v>https://openalex.org/A5109226325; https://doi.org/10.1016/j.cej.2026.177494; https://ror.org/00d80zx46</x:v>
      </x:c>
      <x:c r="Z24" s="41" t="str">
        <x:v>role; email; telephone; orcid; Scopus; Web of Science; personal website</x:v>
      </x:c>
      <x:c r="AA24" s="41" t="str">
        <x:v>Reliability enhancement of PVDF-HFP modified perovskite solar cells under synergistic space-relevant stress conditions | 2T Perovskite Tandem Solar Cells in Space: Failure Mechanisms and Design Strategies | Impact of proton radiation on the performance of single-junction perovskite solar cells for space applications</x:v>
      </x:c>
      <x:c r="AB24" s="41" t="str">
        <x:v>10.1016/j.cej.2026.177494; 10.1016/j.mtener.2026.102359; 10.1016/j.solmat.2025.114015</x:v>
      </x:c>
    </x:row>
    <x:row r="25">
      <x:c r="A25" s="41" t="str">
        <x:v>unsynced-sunshihsheng</x:v>
      </x:c>
      <x:c r="B25" s="41" t="str">
        <x:v>Sun, Shih-Sheng</x:v>
      </x:c>
      <x:c r="C25" s="41" t="str">
        <x:v>Shih-Sheng Sun</x:v>
      </x:c>
      <x:c r="D25" s="41" t="str">
        <x:v>Sun, Shih-Sheng; Shih-Sheng Sun; S S Sun; S. Sun</x:v>
      </x:c>
      <x:c r="E25" s="41" t="str">
        <x:v>verified</x:v>
      </x:c>
      <x:c r="F25" s="41" t="str">
        <x:v>ORCID + DOI-constrained OpenAlex match</x:v>
      </x:c>
      <x:c r="G25" s="42" t="str">
        <x:v>1.0</x:v>
      </x:c>
      <x:c r="H25" s="41"/>
      <x:c r="I25" s="43" t="str">
        <x:v>3</x:v>
      </x:c>
      <x:c r="J25" s="43" t="str">
        <x:v>2025</x:v>
      </x:c>
      <x:c r="K25" s="43" t="str">
        <x:v>2025</x:v>
      </x:c>
      <x:c r="L25" s="41"/>
      <x:c r="M25" s="41"/>
      <x:c r="N25" s="41" t="str">
        <x:v>Institute of Chemistry, Academia Sinica</x:v>
      </x:c>
      <x:c r="O25" s="41"/>
      <x:c r="P25" s="41"/>
      <x:c r="Q25" s="41" t="str">
        <x:v>0000-0001-5515-5059</x:v>
      </x:c>
      <x:c r="R25" s="41" t="str">
        <x:v>https://scholar.google.com/citations?user=f_H1I1IAAAAJ&amp;hl=zh-TW</x:v>
      </x:c>
      <x:c r="S25" s="41" t="str">
        <x:v>https://openalex.org/A5010356907</x:v>
      </x:c>
      <x:c r="T25" s="41"/>
      <x:c r="U25" s="41" t="str">
        <x:v>https://www.scopus.com/authid/detail.uri?authorId=7404510318</x:v>
      </x:c>
      <x:c r="V25" s="41" t="str">
        <x:v>http://www.researcherid.com/rid/C-6952-2015</x:v>
      </x:c>
      <x:c r="W25" s="41" t="str">
        <x:v>https://ror.org/04xjjma71</x:v>
      </x:c>
      <x:c r="X25" s="41" t="str">
        <x:v>https://www.chem.sinica.edu.tw/faculty/index.php?piName=sssun&amp;lang=en</x:v>
      </x:c>
      <x:c r="Y25" s="41" t="str">
        <x:v>https://openalex.org/A5010356907; https://orcid.org/0000-0001-5515-5059; https://doi.org/10.1002/solr.202500538; https://ror.org/04xjjma71; https://www.chem.sinica.edu.tw/faculty/index.php?piName=sssun&amp;lang=en</x:v>
      </x:c>
      <x:c r="Z25" s="41" t="str">
        <x:v>role; email; telephone</x:v>
      </x:c>
      <x:c r="AA25" s="41" t="str">
        <x:v>Round-Robin Interlaboratory Comparison of Large-Area Organic Thin-Film and Perovskite Solar Cells | Asymmetric Fluorinated Cyclopenta [2, 1‐b: 3, 4‐b'] Dithiophene‐Based Hole‐Transporting Materials for Perovskite Solar Cell | Judicious Molecular Design of 5H‑Dithieno[3,2‑b:2′,3′‑d]Pyran-based Hole-Transporting Materials for Highly Efficient and Stable Perovskite Solar Cells</x:v>
      </x:c>
      <x:c r="AB25" s="41" t="str">
        <x:v>10.1002/solr.202500538; 10.1002/asia.202500719; 10.1002/advs.202410666</x:v>
      </x:c>
    </x:row>
    <x:row r="26">
      <x:c r="A26" s="41" t="str">
        <x:v>unsynced-wuchunguey</x:v>
      </x:c>
      <x:c r="B26" s="41" t="str">
        <x:v>Wu, Chun-Guey</x:v>
      </x:c>
      <x:c r="C26" s="41" t="str">
        <x:v>Chun-Guey Wu</x:v>
      </x:c>
      <x:c r="D26" s="41" t="str">
        <x:v>Wu, Chun-Guey; Chun-Guey Wu; C. G. Wu; Chun Wu</x:v>
      </x:c>
      <x:c r="E26" s="41" t="str">
        <x:v>verified</x:v>
      </x:c>
      <x:c r="F26" s="41" t="str">
        <x:v>ORCID + DOI-constrained OpenAlex match</x:v>
      </x:c>
      <x:c r="G26" s="42" t="str">
        <x:v>1.0</x:v>
      </x:c>
      <x:c r="H26" s="41"/>
      <x:c r="I26" s="43" t="str">
        <x:v>3</x:v>
      </x:c>
      <x:c r="J26" s="43" t="str">
        <x:v>2012</x:v>
      </x:c>
      <x:c r="K26" s="43" t="str">
        <x:v>2025</x:v>
      </x:c>
      <x:c r="L26" s="41"/>
      <x:c r="M26" s="41"/>
      <x:c r="N26" s="41" t="str">
        <x:v>National Central University</x:v>
      </x:c>
      <x:c r="O26" s="41"/>
      <x:c r="P26" s="41"/>
      <x:c r="Q26" s="41" t="str">
        <x:v>0000-0001-8540-5602</x:v>
      </x:c>
      <x:c r="R26" s="41"/>
      <x:c r="S26" s="41" t="str">
        <x:v>https://openalex.org/A5079624088</x:v>
      </x:c>
      <x:c r="T26" s="41"/>
      <x:c r="U26" s="41"/>
      <x:c r="V26" s="41"/>
      <x:c r="W26" s="41" t="str">
        <x:v>https://ror.org/00944ve71</x:v>
      </x:c>
      <x:c r="X26" s="41"/>
      <x:c r="Y26" s="41" t="str">
        <x:v>https://openalex.org/A5079624088; https://orcid.org/0000-0001-8540-5602; https://doi.org/10.1002/solr.202500538; https://ror.org/00944ve71</x:v>
      </x:c>
      <x:c r="Z26" s="41" t="str">
        <x:v>role; email; telephone; Google Scholar; Scopus; Web of Science; personal website</x:v>
      </x:c>
      <x:c r="AA26" s="41" t="str">
        <x:v>Round-Robin Interlaboratory Comparison of Large-Area Organic Thin-Film and Perovskite Solar Cells | Enhanced efficiency of bifacial and back-illuminated Ti foil based flexible dye-sensitized solar cells by decoration of mesoporous SiO2 layer on TiO2 anode | Ionic liquid diffusion properties in tetrapod-like ZnO photoanode for dye-sensitized solar cells</x:v>
      </x:c>
      <x:c r="AB26" s="41" t="str">
        <x:v>10.1002/solr.202500538; 10.1016/j.jpowsour.2012.12.094; 10.1016/j.jpowsour.2012.05.079</x:v>
      </x:c>
    </x:row>
    <x:row r="27">
      <x:c r="A27" s="41" t="str">
        <x:v>unsynced-wujennming</x:v>
      </x:c>
      <x:c r="B27" s="41" t="str">
        <x:v>Wu, Jenn-Ming</x:v>
      </x:c>
      <x:c r="C27" s="41" t="str">
        <x:v>Jenn-Ming Wu</x:v>
      </x:c>
      <x:c r="D27" s="41" t="str">
        <x:v>Wu, Jenn-Ming; Jenn-Ming Wu</x:v>
      </x:c>
      <x:c r="E27" s="41" t="str">
        <x:v>verified</x:v>
      </x:c>
      <x:c r="F27" s="41" t="str">
        <x:v>DOI-constrained OpenAlex match</x:v>
      </x:c>
      <x:c r="G27" s="42" t="str">
        <x:v>1.0</x:v>
      </x:c>
      <x:c r="H27" s="41"/>
      <x:c r="I27" s="43" t="str">
        <x:v>3</x:v>
      </x:c>
      <x:c r="J27" s="43" t="str">
        <x:v>2009</x:v>
      </x:c>
      <x:c r="K27" s="43" t="str">
        <x:v>2011</x:v>
      </x:c>
      <x:c r="L27" s="41"/>
      <x:c r="M27" s="41"/>
      <x:c r="N27" s="41" t="str">
        <x:v>National Tsing Hua University</x:v>
      </x:c>
      <x:c r="O27" s="41"/>
      <x:c r="P27" s="41"/>
      <x:c r="Q27" s="41"/>
      <x:c r="R27" s="41"/>
      <x:c r="S27" s="41" t="str">
        <x:v>https://openalex.org/A5109944881</x:v>
      </x:c>
      <x:c r="T27" s="41"/>
      <x:c r="U27" s="41"/>
      <x:c r="V27" s="41"/>
      <x:c r="W27" s="41" t="str">
        <x:v>https://ror.org/00zdnkx70</x:v>
      </x:c>
      <x:c r="X27" s="41"/>
      <x:c r="Y27" s="41" t="str">
        <x:v>https://openalex.org/A5109944881; https://doi.org/10.1039/c0jm04099a; https://ror.org/00zdnkx70</x:v>
      </x:c>
      <x:c r="Z27" s="41" t="str">
        <x:v>role; email; telephone; orcid; Google Scholar; Scopus; Web of Science; personal website</x:v>
      </x:c>
      <x:c r="AA27" s="41" t="str">
        <x:v>Improved performance of flexible dye-sensitized solar cells by introducing an interfacial layer on Ti substrates | The influence of tetrapod-like ZnO morphology and electrolytes on energy conversion efficiency of dye-sensitized solar cells | Efficient electron transport in tetrapod-like ZnO metal-free dye-sensitized solar cells</x:v>
      </x:c>
      <x:c r="AB27" s="41" t="str">
        <x:v>10.1039/C0JM04099A; 10.1016/j.electacta.2010.07.061; 10.1039/B902595M</x:v>
      </x:c>
    </x:row>
    <x:row r="28">
      <x:c r="A28" s="41" t="str">
        <x:v>unsynced-yenyungsheng</x:v>
      </x:c>
      <x:c r="B28" s="41" t="str">
        <x:v>Yen, Yung-Sheng</x:v>
      </x:c>
      <x:c r="C28" s="41" t="str">
        <x:v>Yung-Sheng Yen</x:v>
      </x:c>
      <x:c r="D28" s="41" t="str">
        <x:v>Yen, Yung-Sheng; Yung-Sheng Yen</x:v>
      </x:c>
      <x:c r="E28" s="41" t="str">
        <x:v>verified</x:v>
      </x:c>
      <x:c r="F28" s="41" t="str">
        <x:v>ORCID + DOI-constrained OpenAlex match</x:v>
      </x:c>
      <x:c r="G28" s="42" t="str">
        <x:v>1.0</x:v>
      </x:c>
      <x:c r="H28" s="41"/>
      <x:c r="I28" s="43" t="str">
        <x:v>3</x:v>
      </x:c>
      <x:c r="J28" s="43" t="str">
        <x:v>2022</x:v>
      </x:c>
      <x:c r="K28" s="43" t="str">
        <x:v>2026</x:v>
      </x:c>
      <x:c r="L28" s="41"/>
      <x:c r="M28" s="41"/>
      <x:c r="N28" s="41" t="str">
        <x:v>Department of Chemistry Chung Yuan Christian University Zhongli Taoyuan 320 Taiwan</x:v>
      </x:c>
      <x:c r="O28" s="41"/>
      <x:c r="P28" s="41"/>
      <x:c r="Q28" s="41" t="str">
        <x:v>0000-0001-6008-2878</x:v>
      </x:c>
      <x:c r="R28" s="41"/>
      <x:c r="S28" s="41" t="str">
        <x:v>https://openalex.org/A5090838798</x:v>
      </x:c>
      <x:c r="T28" s="41"/>
      <x:c r="U28" s="41"/>
      <x:c r="V28" s="41"/>
      <x:c r="W28" s="41" t="str">
        <x:v>https://ror.org/02w8ws377</x:v>
      </x:c>
      <x:c r="X28" s="41"/>
      <x:c r="Y28" s="41" t="str">
        <x:v>https://openalex.org/A5090838798; https://orcid.org/0000-0001-6008-2878; https://doi.org/10.1002/asia.70245; https://ror.org/02w8ws377</x:v>
      </x:c>
      <x:c r="Z28" s="41" t="str">
        <x:v>role; email; telephone; Google Scholar; Scopus; Web of Science; personal website</x:v>
      </x:c>
      <x:c r="AA28" s="41" t="str">
        <x:v>Fused Dithienoheterocycle‐Based Hole‐Transporting Materials for Efficient Perovskite Solar Cells | Ladder-type dihydronaphtho [1, 2, 3, 4-rst] pentaphene as building block to construct hole-transporting materials for perovskite solar cells | Effect of Thiophene Insertion on X-Shaped Anthracene-Based Hole-Transporting Materials in Perovskite Solar Cells</x:v>
      </x:c>
      <x:c r="AB28" s="41" t="str">
        <x:v>10.1002/asia.70245; 10.1016/j.jpowsour.2023.233496; 10.3390/polym14081580</x:v>
      </x:c>
    </x:row>
    <x:row r="29">
      <x:c r="A29" s="41" t="str">
        <x:v>unsynced-chanshunhsiang</x:v>
      </x:c>
      <x:c r="B29" s="41" t="str">
        <x:v>Chan, Shun-Hsiang</x:v>
      </x:c>
      <x:c r="C29" s="41" t="str">
        <x:v>Shun-Hsiang Chan</x:v>
      </x:c>
      <x:c r="D29" s="41" t="str">
        <x:v>Chan, Shun-Hsiang; Shun-Hsiang Chan</x:v>
      </x:c>
      <x:c r="E29" s="41" t="str">
        <x:v>verified</x:v>
      </x:c>
      <x:c r="F29" s="41" t="str">
        <x:v>DOI-constrained OpenAlex match</x:v>
      </x:c>
      <x:c r="G29" s="42" t="str">
        <x:v>1.0</x:v>
      </x:c>
      <x:c r="H29" s="41"/>
      <x:c r="I29" s="43" t="str">
        <x:v>2</x:v>
      </x:c>
      <x:c r="J29" s="43" t="str">
        <x:v>2021</x:v>
      </x:c>
      <x:c r="K29" s="43" t="str">
        <x:v>2022</x:v>
      </x:c>
      <x:c r="L29" s="41"/>
      <x:c r="M29" s="41"/>
      <x:c r="N29" s="41" t="str">
        <x:v>Department of Chemical and Materials Engineering, Chang Gung University, Taoyuan 33302, Taiwan; Green Technology Research Center, Chang Gung University, Taoyuan 33302, Taiwan</x:v>
      </x:c>
      <x:c r="O29" s="41"/>
      <x:c r="P29" s="41"/>
      <x:c r="Q29" s="41"/>
      <x:c r="R29" s="41" t="str">
        <x:v>https://scholar.google.com/citations?user=WA1cc0sAAAAJ&amp;hl=zh-TW</x:v>
      </x:c>
      <x:c r="S29" s="41" t="str">
        <x:v>https://openalex.org/A5112760217</x:v>
      </x:c>
      <x:c r="T29" s="41"/>
      <x:c r="U29" s="41"/>
      <x:c r="V29" s="41"/>
      <x:c r="W29" s="41" t="str">
        <x:v>https://ror.org/009knm296</x:v>
      </x:c>
      <x:c r="X29" s="41"/>
      <x:c r="Y29" s="41" t="str">
        <x:v>https://openalex.org/A5112760217; https://doi.org/10.3390/nano12152651; https://ror.org/009knm296</x:v>
      </x:c>
      <x:c r="Z29" s="41" t="str">
        <x:v>role; email; telephone; orcid; Scopus; Web of Science; personal website</x:v>
      </x:c>
      <x:c r="AA29" s="41" t="str">
        <x:v>Surfactant Tween 20 Controlled Perovskite Film Fabricated by Thermal Blade Coating for Efficient Perovskite Solar Cells | Reducing defects in organic-lead halide perovskite film by delayed thermal annealing combined with KI/I2 for efficient perovskite solar cells</x:v>
      </x:c>
      <x:c r="AB29" s="41" t="str">
        <x:v>10.3390/nano12152651; 10.3390/nano11061607</x:v>
      </x:c>
    </x:row>
    <x:row r="30">
      <x:c r="A30" s="41" t="str">
        <x:v>unsynced-chandrasekarandharuman</x:v>
      </x:c>
      <x:c r="B30" s="41" t="str">
        <x:v>Chandrasekaran, Dharuman</x:v>
      </x:c>
      <x:c r="C30" s="41" t="str">
        <x:v>Dharuman Chandrasekaran</x:v>
      </x:c>
      <x:c r="D30" s="41" t="str">
        <x:v>Chandrasekaran, Dharuman; Dharuman Chandrasekaran</x:v>
      </x:c>
      <x:c r="E30" s="41" t="str">
        <x:v>verified</x:v>
      </x:c>
      <x:c r="F30" s="41" t="str">
        <x:v>ORCID + DOI-constrained OpenAlex match</x:v>
      </x:c>
      <x:c r="G30" s="42" t="str">
        <x:v>1.0</x:v>
      </x:c>
      <x:c r="H30" s="41"/>
      <x:c r="I30" s="43" t="str">
        <x:v>2</x:v>
      </x:c>
      <x:c r="J30" s="43" t="str">
        <x:v>2022</x:v>
      </x:c>
      <x:c r="K30" s="43" t="str">
        <x:v>2023</x:v>
      </x:c>
      <x:c r="L30" s="41"/>
      <x:c r="M30" s="41"/>
      <x:c r="N30" s="41" t="str">
        <x:v>Department of Chemistry, Chung Yuan Christian University, Zhongli, Taoyuan 320, Taiwan</x:v>
      </x:c>
      <x:c r="O30" s="41"/>
      <x:c r="P30" s="41"/>
      <x:c r="Q30" s="41" t="str">
        <x:v>0000-0001-9683-965X</x:v>
      </x:c>
      <x:c r="R30" s="41"/>
      <x:c r="S30" s="41" t="str">
        <x:v>https://openalex.org/A5036987336</x:v>
      </x:c>
      <x:c r="T30" s="41"/>
      <x:c r="U30" s="41"/>
      <x:c r="V30" s="41"/>
      <x:c r="W30" s="41" t="str">
        <x:v>https://ror.org/02w8ws377</x:v>
      </x:c>
      <x:c r="X30" s="41"/>
      <x:c r="Y30" s="41" t="str">
        <x:v>https://openalex.org/A5036987336; https://orcid.org/0000-0001-9683-965X; https://doi.org/10.1016/j.jpowsour.2023.233496; https://ror.org/02w8ws377</x:v>
      </x:c>
      <x:c r="Z30" s="41" t="str">
        <x:v>role; email; telephone; Google Scholar; Scopus; Web of Science; personal website</x:v>
      </x:c>
      <x:c r="AA30" s="41" t="str">
        <x:v>Ladder-type dihydronaphtho [1, 2, 3, 4-rst] pentaphene as building block to construct hole-transporting materials for perovskite solar cells | Effect of Thiophene Insertion on X-Shaped Anthracene-Based Hole-Transporting Materials in Perovskite Solar Cells</x:v>
      </x:c>
      <x:c r="AB30" s="41" t="str">
        <x:v>10.1016/j.jpowsour.2023.233496; 10.3390/polym14081580</x:v>
      </x:c>
    </x:row>
    <x:row r="31">
      <x:c r="A31" s="41" t="str">
        <x:v>unsynced-changyaho</x:v>
      </x:c>
      <x:c r="B31" s="41" t="str">
        <x:v>Chang, Ya-Ho</x:v>
      </x:c>
      <x:c r="C31" s="41" t="str">
        <x:v>Ya-Ho Chang</x:v>
      </x:c>
      <x:c r="D31" s="41" t="str">
        <x:v>Chang, Ya-Ho; Ya-Ho Chang</x:v>
      </x:c>
      <x:c r="E31" s="41" t="str">
        <x:v>verified</x:v>
      </x:c>
      <x:c r="F31" s="41" t="str">
        <x:v>DOI-constrained OpenAlex match</x:v>
      </x:c>
      <x:c r="G31" s="42" t="str">
        <x:v>1.0</x:v>
      </x:c>
      <x:c r="H31" s="41"/>
      <x:c r="I31" s="43" t="str">
        <x:v>2</x:v>
      </x:c>
      <x:c r="J31" s="43" t="str">
        <x:v>2025</x:v>
      </x:c>
      <x:c r="K31" s="43" t="str">
        <x:v>2025</x:v>
      </x:c>
      <x:c r="L31" s="41"/>
      <x:c r="M31" s="41"/>
      <x:c r="N31" s="41" t="str">
        <x:v>Center for Sustainability and Energy Technologies Chang Gung University Taoyuan 33302 Taiwan</x:v>
      </x:c>
      <x:c r="O31" s="41"/>
      <x:c r="P31" s="41"/>
      <x:c r="Q31" s="41"/>
      <x:c r="R31" s="41"/>
      <x:c r="S31" s="41" t="str">
        <x:v>https://openalex.org/A5100882960</x:v>
      </x:c>
      <x:c r="T31" s="41"/>
      <x:c r="U31" s="41"/>
      <x:c r="V31" s="41"/>
      <x:c r="W31" s="41" t="str">
        <x:v>https://ror.org/00d80zx46</x:v>
      </x:c>
      <x:c r="X31" s="41"/>
      <x:c r="Y31" s="41" t="str">
        <x:v>https://openalex.org/A5100882960; https://doi.org/10.1002/asia.202500719; https://ror.org/00d80zx46</x:v>
      </x:c>
      <x:c r="Z31" s="41" t="str">
        <x:v>role; email; telephone; orcid; Google Scholar; Scopus; Web of Science; personal website</x:v>
      </x:c>
      <x:c r="AA31" s="41" t="str">
        <x:v>Asymmetric Fluorinated Cyclopenta [2, 1‐b: 3, 4‐b'] Dithiophene‐Based Hole‐Transporting Materials for Perovskite Solar Cell | Judicious Molecular Design of 5H‑Dithieno[3,2‑b:2′,3′‑d]Pyran-based Hole-Transporting Materials for Highly Efficient and Stable Perovskite Solar Cells</x:v>
      </x:c>
      <x:c r="AB31" s="41" t="str">
        <x:v>10.1002/asia.202500719; 10.1002/advs.202410666</x:v>
      </x:c>
    </x:row>
    <x:row r="32">
      <x:c r="A32" s="41" t="str">
        <x:v>unsynced-chenchihhung</x:v>
      </x:c>
      <x:c r="B32" s="41" t="str">
        <x:v>Chen, Chih-Hung</x:v>
      </x:c>
      <x:c r="C32" s="41" t="str">
        <x:v>Chih-Hung Chen</x:v>
      </x:c>
      <x:c r="D32" s="41" t="str">
        <x:v>Chen, Chih-Hung; Chih-Hung Chen; C.-H. CHEN</x:v>
      </x:c>
      <x:c r="E32" s="41" t="str">
        <x:v>verified</x:v>
      </x:c>
      <x:c r="F32" s="41" t="str">
        <x:v>ORCID + DOI-constrained OpenAlex match</x:v>
      </x:c>
      <x:c r="G32" s="42" t="str">
        <x:v>1.0</x:v>
      </x:c>
      <x:c r="H32" s="41"/>
      <x:c r="I32" s="43" t="str">
        <x:v>2</x:v>
      </x:c>
      <x:c r="J32" s="43" t="str">
        <x:v>2025</x:v>
      </x:c>
      <x:c r="K32" s="43" t="str">
        <x:v>2025</x:v>
      </x:c>
      <x:c r="L32" s="41" t="str">
        <x:v>Associate Professor</x:v>
      </x:c>
      <x:c r="M32" s="41" t="str">
        <x:v>Associate Professor</x:v>
      </x:c>
      <x:c r="N32" s="41" t="str">
        <x:v>Bachelor Program of Interdisciplinary Studies, National Taichung University of Education</x:v>
      </x:c>
      <x:c r="O32" s="41"/>
      <x:c r="P32" s="41"/>
      <x:c r="Q32" s="41" t="str">
        <x:v>0000-0002-8308-8946</x:v>
      </x:c>
      <x:c r="R32" s="41"/>
      <x:c r="S32" s="41" t="str">
        <x:v>https://openalex.org/A5100759684</x:v>
      </x:c>
      <x:c r="T32" s="41"/>
      <x:c r="U32" s="41" t="str">
        <x:v>https://www.scopus.com/authid/detail.uri?authorId=56180026400</x:v>
      </x:c>
      <x:c r="V32" s="41"/>
      <x:c r="W32" s="41" t="str">
        <x:v>https://ror.org/00q09pe49</x:v>
      </x:c>
      <x:c r="X32" s="41"/>
      <x:c r="Y32" s="41" t="str">
        <x:v>https://openalex.org/A5100759684; https://orcid.org/0000-0002-8308-8946; https://doi.org/10.1002/asia.202500719; https://ror.org/00q09pe49</x:v>
      </x:c>
      <x:c r="Z32" s="41" t="str">
        <x:v>email; telephone; Google Scholar; Web of Science; personal website</x:v>
      </x:c>
      <x:c r="AA32" s="41" t="str">
        <x:v>Asymmetric Fluorinated Cyclopenta [2, 1‐b: 3, 4‐b'] Dithiophene‐Based Hole‐Transporting Materials for Perovskite Solar Cell | Judicious Molecular Design of 5H‑Dithieno[3,2‑b:2′,3′‑d]Pyran-based Hole-Transporting Materials for Highly Efficient and Stable Perovskite Solar Cells</x:v>
      </x:c>
      <x:c r="AB32" s="41" t="str">
        <x:v>10.1002/asia.202500719; 10.1002/advs.202410666</x:v>
      </x:c>
    </x:row>
    <x:row r="33">
      <x:c r="A33" s="41" t="str">
        <x:v>unsynced-chiujianming</x:v>
      </x:c>
      <x:c r="B33" s="41" t="str">
        <x:v>Chiu, Jian-Ming</x:v>
      </x:c>
      <x:c r="C33" s="41" t="str">
        <x:v>Jian-Ming Chiu</x:v>
      </x:c>
      <x:c r="D33" s="41" t="str">
        <x:v>Chiu, Jian-Ming; Jian-Ming Chiu</x:v>
      </x:c>
      <x:c r="E33" s="41" t="str">
        <x:v>verified</x:v>
      </x:c>
      <x:c r="F33" s="41" t="str">
        <x:v>DOI-constrained OpenAlex match</x:v>
      </x:c>
      <x:c r="G33" s="42" t="str">
        <x:v>1.0</x:v>
      </x:c>
      <x:c r="H33" s="41"/>
      <x:c r="I33" s="43" t="str">
        <x:v>2</x:v>
      </x:c>
      <x:c r="J33" s="43" t="str">
        <x:v>2024</x:v>
      </x:c>
      <x:c r="K33" s="43" t="str">
        <x:v>2025</x:v>
      </x:c>
      <x:c r="L33" s="41"/>
      <x:c r="M33" s="41"/>
      <x:c r="N33" s="41" t="str">
        <x:v>Department of Materials Science and Engineering National Taiwan University of Science and Technology Taipei 106335 Taiwan</x:v>
      </x:c>
      <x:c r="O33" s="41"/>
      <x:c r="P33" s="41"/>
      <x:c r="Q33" s="41"/>
      <x:c r="R33" s="41" t="str">
        <x:v>https://scholar.google.com/citations?user=6qr6alkAAAAJ&amp;hl=zh-TW</x:v>
      </x:c>
      <x:c r="S33" s="41" t="str">
        <x:v>https://openalex.org/A5110847715</x:v>
      </x:c>
      <x:c r="T33" s="41"/>
      <x:c r="U33" s="41"/>
      <x:c r="V33" s="41"/>
      <x:c r="W33" s="41" t="str">
        <x:v>https://ror.org/00q09pe49</x:v>
      </x:c>
      <x:c r="X33" s="41"/>
      <x:c r="Y33" s="41" t="str">
        <x:v>https://openalex.org/A5110847715; https://doi.org/10.1002/asia.202500719; https://ror.org/00q09pe49</x:v>
      </x:c>
      <x:c r="Z33" s="41" t="str">
        <x:v>role; email; telephone; orcid; Scopus; Web of Science; personal website</x:v>
      </x:c>
      <x:c r="AA33" s="41" t="str">
        <x:v>Asymmetric Fluorinated Cyclopenta [2, 1‐b: 3, 4‐b'] Dithiophene‐Based Hole‐Transporting Materials for Perovskite Solar Cell | Fluorination of Star-Shaped Cyclopenta[2,1-b;3,4-b′]dithiophene Derivatives and Its Application as Hole-Transporting Materials in Scalable Perovskite Solar Cell Fabrication by Bar Coating</x:v>
      </x:c>
      <x:c r="AB33" s="41" t="str">
        <x:v>10.1002/asia.202500719; 10.1002/solr.202300988</x:v>
      </x:c>
    </x:row>
    <x:row r="34">
      <x:c r="A34" s="41" t="str">
        <x:v>unsynced-chouhsienhsin</x:v>
      </x:c>
      <x:c r="B34" s="41" t="str">
        <x:v>Chou, Hsien-Hsin</x:v>
      </x:c>
      <x:c r="C34" s="41" t="str">
        <x:v>Hsien-Hsin Chou</x:v>
      </x:c>
      <x:c r="D34" s="41" t="str">
        <x:v>Chou, Hsien-Hsin; Hsien-Hsin Chou</x:v>
      </x:c>
      <x:c r="E34" s="41" t="str">
        <x:v>verified</x:v>
      </x:c>
      <x:c r="F34" s="41" t="str">
        <x:v>ORCID + DOI-constrained OpenAlex match</x:v>
      </x:c>
      <x:c r="G34" s="42" t="str">
        <x:v>1.0</x:v>
      </x:c>
      <x:c r="H34" s="41"/>
      <x:c r="I34" s="43" t="str">
        <x:v>2</x:v>
      </x:c>
      <x:c r="J34" s="43" t="str">
        <x:v>2022</x:v>
      </x:c>
      <x:c r="K34" s="43" t="str">
        <x:v>2023</x:v>
      </x:c>
      <x:c r="L34" s="41" t="str">
        <x:v>Associate Professor</x:v>
      </x:c>
      <x:c r="M34" s="41" t="str">
        <x:v>Associate Professor</x:v>
      </x:c>
      <x:c r="N34" s="41" t="str">
        <x:v>Department of Applied Chemistry, Providence University</x:v>
      </x:c>
      <x:c r="O34" s="41" t="str">
        <x:v>hhchou@pu.edu.tw</x:v>
      </x:c>
      <x:c r="P34" s="41"/>
      <x:c r="Q34" s="41" t="str">
        <x:v>0000-0003-1374-2284</x:v>
      </x:c>
      <x:c r="R34" s="41" t="str">
        <x:v>https://scholar.google.com/citations?user=t-eTAHEAAAAJ&amp;hl=zh-TW</x:v>
      </x:c>
      <x:c r="S34" s="41" t="str">
        <x:v>https://openalex.org/A5065689738</x:v>
      </x:c>
      <x:c r="T34" s="41"/>
      <x:c r="U34" s="41" t="str">
        <x:v>https://www.scopus.com/authid/detail.uri?authorId=57652482100</x:v>
      </x:c>
      <x:c r="V34" s="41" t="str">
        <x:v>http://www.researcherid.com/rid/I-8873-2016</x:v>
      </x:c>
      <x:c r="W34" s="41" t="str">
        <x:v>https://ror.org/03fcpsq87</x:v>
      </x:c>
      <x:c r="X34" s="41"/>
      <x:c r="Y34" s="41" t="str">
        <x:v>https://openalex.org/A5065689738; https://orcid.org/0000-0003-1374-2284; https://doi.org/10.1016/j.jpowsour.2023.233496; https://ror.org/03fcpsq87</x:v>
      </x:c>
      <x:c r="Z34" s="41" t="str">
        <x:v>telephone; personal website</x:v>
      </x:c>
      <x:c r="AA34" s="41" t="str">
        <x:v>Ladder-type dihydronaphtho [1, 2, 3, 4-rst] pentaphene as building block to construct hole-transporting materials for perovskite solar cells | Effect of Thiophene Insertion on X-Shaped Anthracene-Based Hole-Transporting Materials in Perovskite Solar Cells</x:v>
      </x:c>
      <x:c r="AB34" s="41" t="str">
        <x:v>10.1016/j.jpowsour.2023.233496; 10.3390/polym14081580</x:v>
      </x:c>
    </x:row>
    <x:row r="35">
      <x:c r="A35" s="41" t="str">
        <x:v>unsynced-hsiehyuchien</x:v>
      </x:c>
      <x:c r="B35" s="41" t="str">
        <x:v>Hsieh, Yu-Chien</x:v>
      </x:c>
      <x:c r="C35" s="41" t="str">
        <x:v>Yu-Chien Hsieh</x:v>
      </x:c>
      <x:c r="D35" s="41" t="str">
        <x:v>Hsieh, Yu-Chien; Yu-Chien Hsieh</x:v>
      </x:c>
      <x:c r="E35" s="41" t="str">
        <x:v>verified</x:v>
      </x:c>
      <x:c r="F35" s="41" t="str">
        <x:v>DOI-constrained OpenAlex match</x:v>
      </x:c>
      <x:c r="G35" s="42" t="str">
        <x:v>1.0</x:v>
      </x:c>
      <x:c r="H35" s="41"/>
      <x:c r="I35" s="43" t="str">
        <x:v>2</x:v>
      </x:c>
      <x:c r="J35" s="43" t="str">
        <x:v>2023</x:v>
      </x:c>
      <x:c r="K35" s="43" t="str">
        <x:v>2024</x:v>
      </x:c>
      <x:c r="L35" s="41"/>
      <x:c r="M35" s="41"/>
      <x:c r="N35" s="41" t="str">
        <x:v>Department of Chemistry Soochow University Taipei 11102 Taiwan</x:v>
      </x:c>
      <x:c r="O35" s="41"/>
      <x:c r="P35" s="41"/>
      <x:c r="Q35" s="41"/>
      <x:c r="R35" s="41"/>
      <x:c r="S35" s="41" t="str">
        <x:v>https://openalex.org/A5113191589</x:v>
      </x:c>
      <x:c r="T35" s="41"/>
      <x:c r="U35" s="41"/>
      <x:c r="V35" s="41"/>
      <x:c r="W35" s="41" t="str">
        <x:v>https://ror.org/05kvm7n82</x:v>
      </x:c>
      <x:c r="X35" s="41"/>
      <x:c r="Y35" s="41" t="str">
        <x:v>https://openalex.org/A5113191589; https://doi.org/10.1002/solr.202300988; https://ror.org/05kvm7n82</x:v>
      </x:c>
      <x:c r="Z35" s="41" t="str">
        <x:v>role; email; telephone; orcid; Google Scholar; Scopus; Web of Science; personal website</x:v>
      </x:c>
      <x:c r="AA35" s="41" t="str">
        <x:v>Fluorination of Star-Shaped Cyclopenta[2,1-b;3,4-b′]dithiophene Derivatives and Its Application as Hole-Transporting Materials in Scalable Perovskite Solar Cell Fabrication by Bar Coating | Fluorination on cyclopentadithiophene-based hole-transport material for high-performance perovskite solar cells</x:v>
      </x:c>
      <x:c r="AB35" s="41" t="str">
        <x:v>10.1002/solr.202300988; 10.1039/D3CC04699K</x:v>
      </x:c>
    </x:row>
    <x:row r="36">
      <x:c r="A36" s="41" t="str">
        <x:v>unsynced-hsuchihyu</x:v>
      </x:c>
      <x:c r="B36" s="41" t="str">
        <x:v>Hsu, Chih-Yu</x:v>
      </x:c>
      <x:c r="C36" s="41" t="str">
        <x:v>Chih-Yu Hsu</x:v>
      </x:c>
      <x:c r="D36" s="41" t="str">
        <x:v>Hsu, Chih-Yu; Chih-Yu Hsu</x:v>
      </x:c>
      <x:c r="E36" s="41" t="str">
        <x:v>verified</x:v>
      </x:c>
      <x:c r="F36" s="41" t="str">
        <x:v>ORCID + DOI-constrained OpenAlex match</x:v>
      </x:c>
      <x:c r="G36" s="42" t="str">
        <x:v>1.0</x:v>
      </x:c>
      <x:c r="H36" s="41"/>
      <x:c r="I36" s="43" t="str">
        <x:v>2</x:v>
      </x:c>
      <x:c r="J36" s="43" t="str">
        <x:v>2009</x:v>
      </x:c>
      <x:c r="K36" s="43" t="str">
        <x:v>2012</x:v>
      </x:c>
      <x:c r="L36" s="41" t="str">
        <x:v>Guest Professor</x:v>
      </x:c>
      <x:c r="M36" s="41" t="str">
        <x:v>Guest Professor</x:v>
      </x:c>
      <x:c r="N36" s="41" t="str">
        <x:v>School of Cyber Science and Engineering, Wuxi University</x:v>
      </x:c>
      <x:c r="O36" s="41" t="str">
        <x:v>tccnchsu@yahoo.com.tw; chihyuhsu@cwxu.edu.cn; tccnchsu@gmail.com</x:v>
      </x:c>
      <x:c r="P36" s="41"/>
      <x:c r="Q36" s="41" t="str">
        <x:v>0000-0003-1074-8170</x:v>
      </x:c>
      <x:c r="R36" s="41"/>
      <x:c r="S36" s="41" t="str">
        <x:v>https://openalex.org/A5111688404</x:v>
      </x:c>
      <x:c r="T36" s="41"/>
      <x:c r="U36" s="41" t="str">
        <x:v>https://www.scopus.com/authid/detail.uri?authorId=55741998100</x:v>
      </x:c>
      <x:c r="V36" s="41"/>
      <x:c r="W36" s="41" t="str">
        <x:v>https://ror.org/02yq4ac41</x:v>
      </x:c>
      <x:c r="X36" s="41"/>
      <x:c r="Y36" s="41" t="str">
        <x:v>https://openalex.org/A5111688404; https://orcid.org/0000-0003-1074-8170; https://doi.org/10.1016/j.jpowsour.2012.05.079; https://ror.org/02yq4ac41</x:v>
      </x:c>
      <x:c r="Z36" s="41" t="str">
        <x:v>telephone; Google Scholar; Web of Science; personal website</x:v>
      </x:c>
      <x:c r="AA36" s="41" t="str">
        <x:v>Ionic liquid diffusion properties in tetrapod-like ZnO photoanode for dye-sensitized solar cells | Dye-sensitized solar cells with a micro-porous TiO2 electrode and gel polymer electrolytes prepared by in situ cross-link reaction</x:v>
      </x:c>
      <x:c r="AB36" s="41" t="str">
        <x:v>10.1016/j.jpowsour.2012.05.079; 10.1016/j.solmat.2009.07.017</x:v>
      </x:c>
    </x:row>
    <x:row r="37">
      <x:c r="A37" s="41" t="str">
        <x:v>unsynced-huangyingkai</x:v>
      </x:c>
      <x:c r="B37" s="41" t="str">
        <x:v>Huang, Ying-Kai</x:v>
      </x:c>
      <x:c r="C37" s="41" t="str">
        <x:v>Ying-Kai Huang</x:v>
      </x:c>
      <x:c r="D37" s="41" t="str">
        <x:v>Huang, Ying-Kai; Ying-Kai Huang; Y.‐K. HUANG</x:v>
      </x:c>
      <x:c r="E37" s="41" t="str">
        <x:v>verified</x:v>
      </x:c>
      <x:c r="F37" s="41" t="str">
        <x:v>DOI-constrained OpenAlex match</x:v>
      </x:c>
      <x:c r="G37" s="42" t="str">
        <x:v>1.0</x:v>
      </x:c>
      <x:c r="H37" s="41"/>
      <x:c r="I37" s="43" t="str">
        <x:v>2</x:v>
      </x:c>
      <x:c r="J37" s="43" t="str">
        <x:v>2023</x:v>
      </x:c>
      <x:c r="K37" s="43" t="str">
        <x:v>2024</x:v>
      </x:c>
      <x:c r="L37" s="41"/>
      <x:c r="M37" s="41"/>
      <x:c r="N37" s="41" t="str">
        <x:v>Department of Chemical and Materials Engineering Chang Gung University Taoyuan 33302 Taiwan</x:v>
      </x:c>
      <x:c r="O37" s="41"/>
      <x:c r="P37" s="41"/>
      <x:c r="Q37" s="41"/>
      <x:c r="R37" s="41"/>
      <x:c r="S37" s="41" t="str">
        <x:v>https://openalex.org/A5108488453</x:v>
      </x:c>
      <x:c r="T37" s="41"/>
      <x:c r="U37" s="41"/>
      <x:c r="V37" s="41"/>
      <x:c r="W37" s="41" t="str">
        <x:v>https://ror.org/00d80zx46</x:v>
      </x:c>
      <x:c r="X37" s="41"/>
      <x:c r="Y37" s="41" t="str">
        <x:v>https://openalex.org/A5108488453; https://doi.org/10.1016/j.mtchem.2024.102329; https://ror.org/00d80zx46</x:v>
      </x:c>
      <x:c r="Z37" s="41" t="str">
        <x:v>role; email; telephone; orcid; Google Scholar; Scopus; Web of Science; personal website</x:v>
      </x:c>
      <x:c r="AA37" s="41" t="str">
        <x:v>Exploring the efficiency enhancement of perovskite solar cells by chemical bath depositing SnO2 on mesoporous TiO2 electrode | Fluorinated Pentafulvalene‐Fused Hole‐Transporting Material Enhances the Performance of Perovskite Solar Cells with Efficiency Exceeding 23%</x:v>
      </x:c>
      <x:c r="AB37" s="41" t="str">
        <x:v>10.1016/j.mtchem.2024.102329; 10.1002/adfm.202306367</x:v>
      </x:c>
    </x:row>
    <x:row r="38">
      <x:c r="A38" s="41" t="str">
        <x:v>unsynced-huangyuching</x:v>
      </x:c>
      <x:c r="B38" s="41" t="str">
        <x:v>Huang, Yu-Ching</x:v>
      </x:c>
      <x:c r="C38" s="41" t="str">
        <x:v>Yu-Ching Huang</x:v>
      </x:c>
      <x:c r="D38" s="41" t="str">
        <x:v>Huang, Yu-Ching; Yu-Ching Huang; Y. Huang; Y.-C. Huang</x:v>
      </x:c>
      <x:c r="E38" s="41" t="str">
        <x:v>verified</x:v>
      </x:c>
      <x:c r="F38" s="41" t="str">
        <x:v>ORCID + DOI-constrained OpenAlex match</x:v>
      </x:c>
      <x:c r="G38" s="42" t="str">
        <x:v>1.0</x:v>
      </x:c>
      <x:c r="H38" s="41"/>
      <x:c r="I38" s="43" t="str">
        <x:v>2</x:v>
      </x:c>
      <x:c r="J38" s="43" t="str">
        <x:v>2023</x:v>
      </x:c>
      <x:c r="K38" s="43" t="str">
        <x:v>2025</x:v>
      </x:c>
      <x:c r="L38" s="41" t="str">
        <x:v>Prof.</x:v>
      </x:c>
      <x:c r="M38" s="41" t="str">
        <x:v>Prof.</x:v>
      </x:c>
      <x:c r="N38" s="41" t="str">
        <x:v>Materials Engineering, Ming Chi University of Technology</x:v>
      </x:c>
      <x:c r="O38" s="41"/>
      <x:c r="P38" s="41"/>
      <x:c r="Q38" s="41" t="str">
        <x:v>0000-0003-4772-8050</x:v>
      </x:c>
      <x:c r="R38" s="41"/>
      <x:c r="S38" s="41" t="str">
        <x:v>https://openalex.org/A5033862057</x:v>
      </x:c>
      <x:c r="T38" s="41"/>
      <x:c r="U38" s="41" t="str">
        <x:v>https://www.scopus.com/authid/detail.uri?authorId=8856139400</x:v>
      </x:c>
      <x:c r="V38" s="41" t="str">
        <x:v>http://www.researcherid.com/rid/C-4359-2018</x:v>
      </x:c>
      <x:c r="W38" s="41" t="str">
        <x:v>https://ror.org/04xgh4d03</x:v>
      </x:c>
      <x:c r="X38" s="41"/>
      <x:c r="Y38" s="41" t="str">
        <x:v>https://openalex.org/A5033862057; https://orcid.org/0000-0003-4772-8050; https://doi.org/10.1002/solr.202500538; https://ror.org/04xgh4d03</x:v>
      </x:c>
      <x:c r="Z38" s="41" t="str">
        <x:v>email; telephone; Google Scholar; personal website</x:v>
      </x:c>
      <x:c r="AA38" s="41" t="str">
        <x:v>Round-Robin Interlaboratory Comparison of Large-Area Organic Thin-Film and Perovskite Solar Cells | Enhancing efficiency and stability of perovskite solar cells through two-step deposition method with the addition of cesium halides to PbI2 precursor</x:v>
      </x:c>
      <x:c r="AB38" s="41" t="str">
        <x:v>10.1002/solr.202500538; 10.1016/j.orgel.2023.106847</x:v>
      </x:c>
    </x:row>
    <x:row r="39">
      <x:c r="A39" s="41" t="str">
        <x:v>unsynced-linhsiufen</x:v>
      </x:c>
      <x:c r="B39" s="41" t="str">
        <x:v>Lin, Hsiu-Fen</x:v>
      </x:c>
      <x:c r="C39" s="41" t="str">
        <x:v>Hsiu-Fen Lin</x:v>
      </x:c>
      <x:c r="D39" s="41" t="str">
        <x:v>Lin, Hsiu-Fen; Hsiu-Fen Lin</x:v>
      </x:c>
      <x:c r="E39" s="41" t="str">
        <x:v>verified</x:v>
      </x:c>
      <x:c r="F39" s="41" t="str">
        <x:v>DOI-constrained OpenAlex match</x:v>
      </x:c>
      <x:c r="G39" s="42" t="str">
        <x:v>1.0</x:v>
      </x:c>
      <x:c r="H39" s="41"/>
      <x:c r="I39" s="43" t="str">
        <x:v>2</x:v>
      </x:c>
      <x:c r="J39" s="43" t="str">
        <x:v>2009</x:v>
      </x:c>
      <x:c r="K39" s="43" t="str">
        <x:v>2010</x:v>
      </x:c>
      <x:c r="L39" s="41"/>
      <x:c r="M39" s="41"/>
      <x:c r="N39" s="41" t="str">
        <x:v>Industrial Technology Research Institute</x:v>
      </x:c>
      <x:c r="O39" s="41"/>
      <x:c r="P39" s="41"/>
      <x:c r="Q39" s="41"/>
      <x:c r="R39" s="41"/>
      <x:c r="S39" s="41" t="str">
        <x:v>https://openalex.org/A5100842499</x:v>
      </x:c>
      <x:c r="T39" s="41"/>
      <x:c r="U39" s="41"/>
      <x:c r="V39" s="41"/>
      <x:c r="W39" s="41" t="str">
        <x:v>https://ror.org/05szzwt63</x:v>
      </x:c>
      <x:c r="X39" s="41"/>
      <x:c r="Y39" s="41" t="str">
        <x:v>https://openalex.org/A5100842499; https://doi.org/10.1016/j.electacta.2010.07.061; https://ror.org/05szzwt63</x:v>
      </x:c>
      <x:c r="Z39" s="41" t="str">
        <x:v>role; email; telephone; orcid; Google Scholar; Scopus; Web of Science; personal website</x:v>
      </x:c>
      <x:c r="AA39" s="41" t="str">
        <x:v>The influence of tetrapod-like ZnO morphology and electrolytes on energy conversion efficiency of dye-sensitized solar cells | Efficient electron transport in tetrapod-like ZnO metal-free dye-sensitized solar cells</x:v>
      </x:c>
      <x:c r="AB39" s="41" t="str">
        <x:v>10.1016/j.electacta.2010.07.061; 10.1039/B902595M</x:v>
      </x:c>
    </x:row>
    <x:row r="40">
      <x:c r="A40" s="41" t="str">
        <x:v>unsynced-shaheeniqra</x:v>
      </x:c>
      <x:c r="B40" s="41" t="str">
        <x:v>Shaheen, Iqra</x:v>
      </x:c>
      <x:c r="C40" s="41" t="str">
        <x:v>Iqra Shaheen</x:v>
      </x:c>
      <x:c r="D40" s="41" t="str">
        <x:v>Shaheen, Iqra; Iqra Shaheen</x:v>
      </x:c>
      <x:c r="E40" s="41" t="str">
        <x:v>verified</x:v>
      </x:c>
      <x:c r="F40" s="41" t="str">
        <x:v>ORCID + DOI-constrained OpenAlex match</x:v>
      </x:c>
      <x:c r="G40" s="42" t="str">
        <x:v>1.0</x:v>
      </x:c>
      <x:c r="H40" s="41"/>
      <x:c r="I40" s="43" t="str">
        <x:v>2</x:v>
      </x:c>
      <x:c r="J40" s="43" t="str">
        <x:v>2025</x:v>
      </x:c>
      <x:c r="K40" s="43" t="str">
        <x:v>2026</x:v>
      </x:c>
      <x:c r="L40" s="41"/>
      <x:c r="M40" s="41"/>
      <x:c r="N40" s="41" t="str">
        <x:v>Chang Gung University</x:v>
      </x:c>
      <x:c r="O40" s="41"/>
      <x:c r="P40" s="41"/>
      <x:c r="Q40" s="41" t="str">
        <x:v>0009-0000-7193-2962</x:v>
      </x:c>
      <x:c r="R40" s="41"/>
      <x:c r="S40" s="41" t="str">
        <x:v>https://openalex.org/A5121757482</x:v>
      </x:c>
      <x:c r="T40" s="41"/>
      <x:c r="U40" s="41" t="str">
        <x:v>https://www.scopus.com/authid/detail.uri?authorId=59970572100</x:v>
      </x:c>
      <x:c r="V40" s="41"/>
      <x:c r="W40" s="41" t="str">
        <x:v>https://ror.org/00d80zx46</x:v>
      </x:c>
      <x:c r="X40" s="41"/>
      <x:c r="Y40" s="41" t="str">
        <x:v>https://openalex.org/A5121757482; https://orcid.org/0009-0000-7193-2962; https://doi.org/10.1016/j.jpowsour.2025.239216; https://ror.org/00d80zx46</x:v>
      </x:c>
      <x:c r="Z40" s="41" t="str">
        <x:v>role; email; telephone; Google Scholar; Web of Science; personal website</x:v>
      </x:c>
      <x:c r="AA40" s="41" t="str">
        <x:v>Heterogeneous graphite felt electrodes decorated with nanostructured graphitic carbon nitride for enhanced redox kinetics in vanadium redox flow batteries | MOF-&amp; COF-integrated composite separators/membranes: innovations for sustainable and high-performance redox flow batteries</x:v>
      </x:c>
      <x:c r="AB40" s="41" t="str">
        <x:v>10.1016/j.jpowsour.2025.239216; 10.1016/j.seppur.2025.134157</x:v>
      </x:c>
    </x:row>
    <x:row r="41">
      <x:c r="A41" s="41" t="str">
        <x:v>unsynced-tingchangchieh</x:v>
      </x:c>
      <x:c r="B41" s="41" t="str">
        <x:v>Ting, Chang-Chieh</x:v>
      </x:c>
      <x:c r="C41" s="41" t="str">
        <x:v>Chang-Chieh Ting</x:v>
      </x:c>
      <x:c r="D41" s="41" t="str">
        <x:v>Ting, Chang-Chieh; Chang-Chieh Ting</x:v>
      </x:c>
      <x:c r="E41" s="41" t="str">
        <x:v>verified</x:v>
      </x:c>
      <x:c r="F41" s="41" t="str">
        <x:v>DOI-constrained OpenAlex match</x:v>
      </x:c>
      <x:c r="G41" s="42" t="str">
        <x:v>1.0</x:v>
      </x:c>
      <x:c r="H41" s="41"/>
      <x:c r="I41" s="43" t="str">
        <x:v>2</x:v>
      </x:c>
      <x:c r="J41" s="43" t="str">
        <x:v>2021</x:v>
      </x:c>
      <x:c r="K41" s="43" t="str">
        <x:v>2022</x:v>
      </x:c>
      <x:c r="L41" s="41"/>
      <x:c r="M41" s="41"/>
      <x:c r="N41" s="41" t="str">
        <x:v>Department of Chemical and Materials Engineering, National Central University, Jhongli District, Taoyuan 32001, Taiwan</x:v>
      </x:c>
      <x:c r="O41" s="41"/>
      <x:c r="P41" s="41"/>
      <x:c r="Q41" s="41"/>
      <x:c r="R41" s="41"/>
      <x:c r="S41" s="41" t="str">
        <x:v>https://openalex.org/A5047353842</x:v>
      </x:c>
      <x:c r="T41" s="41"/>
      <x:c r="U41" s="41"/>
      <x:c r="V41" s="41"/>
      <x:c r="W41" s="41" t="str">
        <x:v>https://ror.org/00944ve71</x:v>
      </x:c>
      <x:c r="X41" s="41"/>
      <x:c r="Y41" s="41" t="str">
        <x:v>https://openalex.org/A5047353842; https://doi.org/10.3390/nano12152651; https://ror.org/00944ve71</x:v>
      </x:c>
      <x:c r="Z41" s="41" t="str">
        <x:v>role; email; telephone; orcid; Google Scholar; Scopus; Web of Science; personal website</x:v>
      </x:c>
      <x:c r="AA41" s="41" t="str">
        <x:v>Surfactant Tween 20 Controlled Perovskite Film Fabricated by Thermal Blade Coating for Efficient Perovskite Solar Cells | Reducing defects in organic-lead halide perovskite film by delayed thermal annealing combined with KI/I2 for efficient perovskite solar cells</x:v>
      </x:c>
      <x:c r="AB41" s="41" t="str">
        <x:v>10.3390/nano12152651; 10.3390/nano11061607</x:v>
      </x:c>
    </x:row>
    <x:row r="42">
      <x:c r="A42" s="41" t="str">
        <x:v>unsynced-tsaisongyeu</x:v>
      </x:c>
      <x:c r="B42" s="41" t="str">
        <x:v>Tsai, Song-Yeu</x:v>
      </x:c>
      <x:c r="C42" s="41" t="str">
        <x:v>Song-Yeu Tsai</x:v>
      </x:c>
      <x:c r="D42" s="41" t="str">
        <x:v>Tsai, Song-Yeu; Song-Yeu Tsai; S.-Y. Tsai; Tsai, S.-Y.</x:v>
      </x:c>
      <x:c r="E42" s="41" t="str">
        <x:v>verified</x:v>
      </x:c>
      <x:c r="F42" s="41" t="str">
        <x:v>ORCID + DOI-constrained OpenAlex match</x:v>
      </x:c>
      <x:c r="G42" s="42" t="str">
        <x:v>1.0</x:v>
      </x:c>
      <x:c r="H42" s="41"/>
      <x:c r="I42" s="43" t="str">
        <x:v>2</x:v>
      </x:c>
      <x:c r="J42" s="43" t="str">
        <x:v>2008</x:v>
      </x:c>
      <x:c r="K42" s="43" t="str">
        <x:v>2009</x:v>
      </x:c>
      <x:c r="L42" s="41" t="str">
        <x:v>Deputy Division Director</x:v>
      </x:c>
      <x:c r="M42" s="41" t="str">
        <x:v>Deputy Division Director</x:v>
      </x:c>
      <x:c r="N42" s="41" t="str">
        <x:v>Photovoltaic Technology Division, Green Energy and Environment Research Laboratoriesy</x:v>
      </x:c>
      <x:c r="O42" s="41"/>
      <x:c r="P42" s="41"/>
      <x:c r="Q42" s="41" t="str">
        <x:v>0000-0001-6039-242X</x:v>
      </x:c>
      <x:c r="R42" s="41"/>
      <x:c r="S42" s="41" t="str">
        <x:v>https://openalex.org/A5085196803</x:v>
      </x:c>
      <x:c r="T42" s="41"/>
      <x:c r="U42" s="41"/>
      <x:c r="V42" s="41"/>
      <x:c r="W42" s="41" t="str">
        <x:v>https://ror.org/05szzwt63</x:v>
      </x:c>
      <x:c r="X42" s="41"/>
      <x:c r="Y42" s="41" t="str">
        <x:v>https://openalex.org/A5085196803; https://orcid.org/0000-0001-6039-242X; https://doi.org/10.1016/j.solmat.2009.07.017; https://ror.org/05szzwt63</x:v>
      </x:c>
      <x:c r="Z42" s="41" t="str">
        <x:v>email; telephone; Google Scholar; Scopus; Web of Science; personal website</x:v>
      </x:c>
      <x:c r="AA42" s="41" t="str">
        <x:v>Dye-sensitized solar cells with a micro-porous TiO2 electrode and gel polymer electrolytes prepared by in situ cross-link reaction | Formation of branched ZnO nanowires from solvothermal method and dye-sensitized solar cells applications</x:v>
      </x:c>
      <x:c r="AB42" s="41" t="str">
        <x:v>10.1016/j.solmat.2009.07.017; 10.1021/jp805239k</x:v>
      </x:c>
    </x:row>
    <x:row r="43">
      <x:c r="A43" s="41" t="str">
        <x:v>unsynced-yangjunehung</x:v>
      </x:c>
      <x:c r="B43" s="41" t="str">
        <x:v>Yang, June Hung</x:v>
      </x:c>
      <x:c r="C43" s="41" t="str">
        <x:v>June Hung Yang</x:v>
      </x:c>
      <x:c r="D43" s="41" t="str">
        <x:v>Yang, June Hung; June Hung Yang</x:v>
      </x:c>
      <x:c r="E43" s="41" t="str">
        <x:v>verified</x:v>
      </x:c>
      <x:c r="F43" s="41" t="str">
        <x:v>DOI-constrained OpenAlex match</x:v>
      </x:c>
      <x:c r="G43" s="42" t="str">
        <x:v>1.0</x:v>
      </x:c>
      <x:c r="H43" s="41"/>
      <x:c r="I43" s="43" t="str">
        <x:v>2</x:v>
      </x:c>
      <x:c r="J43" s="43" t="str">
        <x:v>2023</x:v>
      </x:c>
      <x:c r="K43" s="43" t="str">
        <x:v>2024</x:v>
      </x:c>
      <x:c r="L43" s="41"/>
      <x:c r="M43" s="41"/>
      <x:c r="N43" s="41" t="str">
        <x:v>Department of Chemistry Soochow University Taipei 11102 Taiwan</x:v>
      </x:c>
      <x:c r="O43" s="41"/>
      <x:c r="P43" s="41"/>
      <x:c r="Q43" s="41"/>
      <x:c r="R43" s="41"/>
      <x:c r="S43" s="41" t="str">
        <x:v>https://openalex.org/A5081836582</x:v>
      </x:c>
      <x:c r="T43" s="41"/>
      <x:c r="U43" s="41"/>
      <x:c r="V43" s="41"/>
      <x:c r="W43" s="41" t="str">
        <x:v>https://ror.org/05kvm7n82</x:v>
      </x:c>
      <x:c r="X43" s="41"/>
      <x:c r="Y43" s="41" t="str">
        <x:v>https://openalex.org/A5081836582; https://doi.org/10.1002/solr.202300988; https://ror.org/05kvm7n82</x:v>
      </x:c>
      <x:c r="Z43" s="41" t="str">
        <x:v>role; email; telephone; orcid; Google Scholar; Scopus; Web of Science; personal website</x:v>
      </x:c>
      <x:c r="AA43" s="41" t="str">
        <x:v>Fluorination of Star-Shaped Cyclopenta[2,1-b;3,4-b′]dithiophene Derivatives and Its Application as Hole-Transporting Materials in Scalable Perovskite Solar Cell Fabrication by Bar Coating | Facile synthesis of spiro-core-based hole-transporting material for high-performance and stable perovskite solar cells</x:v>
      </x:c>
      <x:c r="AB43" s="41" t="str">
        <x:v>10.1002/solr.202300988; 10.1016/j.cej.2022.139926</x:v>
      </x:c>
    </x:row>
    <x:row r="44">
      <x:c r="A44" s="41" t="str">
        <x:v>unsynced-yuweilun</x:v>
      </x:c>
      <x:c r="B44" s="41" t="str">
        <x:v>Yu, Wei-Lun</x:v>
      </x:c>
      <x:c r="C44" s="41" t="str">
        <x:v>Wei-Lun Yu</x:v>
      </x:c>
      <x:c r="D44" s="41" t="str">
        <x:v>Yu, Wei-Lun; Wei-Lun Yu</x:v>
      </x:c>
      <x:c r="E44" s="41" t="str">
        <x:v>verified</x:v>
      </x:c>
      <x:c r="F44" s="41" t="str">
        <x:v>ORCID + DOI-constrained OpenAlex match</x:v>
      </x:c>
      <x:c r="G44" s="42" t="str">
        <x:v>1.0</x:v>
      </x:c>
      <x:c r="H44" s="41"/>
      <x:c r="I44" s="43" t="str">
        <x:v>2</x:v>
      </x:c>
      <x:c r="J44" s="43" t="str">
        <x:v>2023</x:v>
      </x:c>
      <x:c r="K44" s="43" t="str">
        <x:v>2026</x:v>
      </x:c>
      <x:c r="L44" s="41"/>
      <x:c r="M44" s="41"/>
      <x:c r="N44" s="41" t="str">
        <x:v>Department of Chemical and Materials Engineering National Central University Jhongli District Taoyuan City 320 Taiwan</x:v>
      </x:c>
      <x:c r="O44" s="41"/>
      <x:c r="P44" s="41"/>
      <x:c r="Q44" s="41" t="str">
        <x:v>0000-0002-6253-576X</x:v>
      </x:c>
      <x:c r="R44" s="41"/>
      <x:c r="S44" s="41" t="str">
        <x:v>https://openalex.org/A5056818545</x:v>
      </x:c>
      <x:c r="T44" s="41"/>
      <x:c r="U44" s="41"/>
      <x:c r="V44" s="41"/>
      <x:c r="W44" s="41" t="str">
        <x:v>https://ror.org/00944ve71</x:v>
      </x:c>
      <x:c r="X44" s="41"/>
      <x:c r="Y44" s="41" t="str">
        <x:v>https://openalex.org/A5056818545; https://orcid.org/0000-0002-6253-576X; https://doi.org/10.1016/j.solener.2026.114430; https://ror.org/00944ve71</x:v>
      </x:c>
      <x:c r="Z44" s="41" t="str">
        <x:v>role; email; telephone; Google Scholar; Scopus; Web of Science; personal website</x:v>
      </x:c>
      <x:c r="AA44" s="41" t="str">
        <x:v>Synergistic preheating and moderate temperature liquid medium annealing for high performance perovskite solar cells | New Molecular Design, Step‐Saving Synthesis, and Applications of Indolocarbazole Core‐Based Oligo (hetero) arenes</x:v>
      </x:c>
      <x:c r="AB44" s="41" t="str">
        <x:v>10.1016/j.solener.2026.114430; 10.1002/asia.202300681</x:v>
      </x:c>
    </x:row>
    <x:row r="45">
      <x:c r="A45" s="41" t="str">
        <x:v>unsynced-abateseidyimer</x:v>
      </x:c>
      <x:c r="B45" s="41" t="str">
        <x:v>Abate, Seid Yimer</x:v>
      </x:c>
      <x:c r="C45" s="41" t="str">
        <x:v>Seid Yimer Abate</x:v>
      </x:c>
      <x:c r="D45" s="41" t="str">
        <x:v>Abate, Seid Yimer; Seid Yimer Abate</x:v>
      </x:c>
      <x:c r="E45" s="41" t="str">
        <x:v>verified</x:v>
      </x:c>
      <x:c r="F45" s="41" t="str">
        <x:v>ORCID + DOI-constrained OpenAlex match</x:v>
      </x:c>
      <x:c r="G45" s="42" t="str">
        <x:v>1.0</x:v>
      </x:c>
      <x:c r="H45" s="41"/>
      <x:c r="I45" s="43" t="str">
        <x:v>1</x:v>
      </x:c>
      <x:c r="J45" s="43" t="str">
        <x:v>2023</x:v>
      </x:c>
      <x:c r="K45" s="43" t="str">
        <x:v>2023</x:v>
      </x:c>
      <x:c r="L45" s="41" t="str">
        <x:v>Research Scientist</x:v>
      </x:c>
      <x:c r="M45" s="41" t="str">
        <x:v>Research Scientist</x:v>
      </x:c>
      <x:c r="N45" s="41" t="str">
        <x:v>Verde Technologies Inc.</x:v>
      </x:c>
      <x:c r="O45" s="41"/>
      <x:c r="P45" s="41"/>
      <x:c r="Q45" s="41" t="str">
        <x:v>0000-0002-1183-0806</x:v>
      </x:c>
      <x:c r="R45" s="41" t="str">
        <x:v>https://scholar.google.com/citations?user=Yv18JMAAAAAJ&amp;hl=zh-TW</x:v>
      </x:c>
      <x:c r="S45" s="41" t="str">
        <x:v>https://openalex.org/A5036381098</x:v>
      </x:c>
      <x:c r="T45" s="41"/>
      <x:c r="U45" s="41"/>
      <x:c r="V45" s="41" t="str">
        <x:v>http://www.researcherid.com/rid/R-2390-2017</x:v>
      </x:c>
      <x:c r="W45" s="41" t="str">
        <x:v>https://ror.org/0155zta11</x:v>
      </x:c>
      <x:c r="X45" s="41"/>
      <x:c r="Y45" s="41" t="str">
        <x:v>https://openalex.org/A5036381098; https://orcid.org/0000-0002-1183-0806; https://doi.org/10.1016/j.cej.2022.139926; https://ror.org/0155zta11</x:v>
      </x:c>
      <x:c r="Z45" s="41" t="str">
        <x:v>email; telephone; Scopus; personal website</x:v>
      </x:c>
      <x:c r="AA45" s="41" t="str">
        <x:v>Facile synthesis of spiro-core-based hole-transporting material for high-performance and stable perovskite solar cells</x:v>
      </x:c>
      <x:c r="AB45" s="41" t="str">
        <x:v>10.1016/j.cej.2022.139926</x:v>
      </x:c>
    </x:row>
    <x:row r="46">
      <x:c r="A46" s="41" t="str">
        <x:v>unsynced-baruahnilimakash</x:v>
      </x:c>
      <x:c r="B46" s="41" t="str">
        <x:v>Baruah, Nilim Akash</x:v>
      </x:c>
      <x:c r="C46" s="41" t="str">
        <x:v>Nilim Akash Baruah</x:v>
      </x:c>
      <x:c r="D46" s="41" t="str">
        <x:v>Baruah, Nilim Akash; Nilim Akash Baruah; NILIM BARUAH</x:v>
      </x:c>
      <x:c r="E46" s="41" t="str">
        <x:v>verified</x:v>
      </x:c>
      <x:c r="F46" s="41" t="str">
        <x:v>DOI-constrained OpenAlex match</x:v>
      </x:c>
      <x:c r="G46" s="42" t="str">
        <x:v>1.0</x:v>
      </x:c>
      <x:c r="H46" s="41"/>
      <x:c r="I46" s="43" t="str">
        <x:v>1</x:v>
      </x:c>
      <x:c r="J46" s="43" t="str">
        <x:v>2024</x:v>
      </x:c>
      <x:c r="K46" s="43" t="str">
        <x:v>2024</x:v>
      </x:c>
      <x:c r="L46" s="41"/>
      <x:c r="M46" s="41"/>
      <x:c r="N46" s="41" t="str">
        <x:v>Chang Gung University of Science and Technology; Chang Gung University</x:v>
      </x:c>
      <x:c r="O46" s="41"/>
      <x:c r="P46" s="41"/>
      <x:c r="Q46" s="41"/>
      <x:c r="R46" s="41" t="str">
        <x:v>https://scholar.google.com/citations?user=1EfcF2UAAAAJ&amp;hl=zh-TW</x:v>
      </x:c>
      <x:c r="S46" s="41" t="str">
        <x:v>https://openalex.org/A5092640461</x:v>
      </x:c>
      <x:c r="T46" s="41"/>
      <x:c r="U46" s="41"/>
      <x:c r="V46" s="41"/>
      <x:c r="W46" s="41" t="str">
        <x:v>https://ror.org/009knm296</x:v>
      </x:c>
      <x:c r="X46" s="41"/>
      <x:c r="Y46" s="41" t="str">
        <x:v>https://openalex.org/A5092640461; https://doi.org/10.1016/j.jece.2023.111741; https://ror.org/009knm296</x:v>
      </x:c>
      <x:c r="Z46" s="41" t="str">
        <x:v>role; email; telephone; orcid; Scopus; Web of Science; personal website</x:v>
      </x:c>
      <x:c r="AA46" s="41" t="str">
        <x:v>Additive-free electroless deposition on graphene/copper foil: Photo-induced and defect-assisted approach for environmentally friendly plating</x:v>
      </x:c>
      <x:c r="AB46" s="41" t="str">
        <x:v>10.1016/j.jece.2023.111741</x:v>
      </x:c>
    </x:row>
    <x:row r="47">
      <x:c r="A47" s="41" t="str">
        <x:v>unsynced-caomingling</x:v>
      </x:c>
      <x:c r="B47" s="41" t="str">
        <x:v>Cao, Ming-Ling</x:v>
      </x:c>
      <x:c r="C47" s="41" t="str">
        <x:v>Ming-Ling Cao</x:v>
      </x:c>
      <x:c r="D47" s="41" t="str">
        <x:v>Cao, Ming-Ling; Ming-Ling Cao</x:v>
      </x:c>
      <x:c r="E47" s="41" t="str">
        <x:v>verified</x:v>
      </x:c>
      <x:c r="F47" s="41" t="str">
        <x:v>DOI-constrained OpenAlex match</x:v>
      </x:c>
      <x:c r="G47" s="42" t="str">
        <x:v>1.0</x:v>
      </x:c>
      <x:c r="H47" s="41"/>
      <x:c r="I47" s="43" t="str">
        <x:v>1</x:v>
      </x:c>
      <x:c r="J47" s="43" t="str">
        <x:v>2023</x:v>
      </x:c>
      <x:c r="K47" s="43" t="str">
        <x:v>2023</x:v>
      </x:c>
      <x:c r="L47" s="41"/>
      <x:c r="M47" s="41"/>
      <x:c r="N47" s="41" t="str">
        <x:v>Department of Chemical and Materials Engineering National Central University Jhongli District Taoyuan City 320 Taiwan</x:v>
      </x:c>
      <x:c r="O47" s="41"/>
      <x:c r="P47" s="41"/>
      <x:c r="Q47" s="41"/>
      <x:c r="R47" s="41"/>
      <x:c r="S47" s="41" t="str">
        <x:v>https://openalex.org/A5102554286</x:v>
      </x:c>
      <x:c r="T47" s="41"/>
      <x:c r="U47" s="41"/>
      <x:c r="V47" s="41"/>
      <x:c r="W47" s="41" t="str">
        <x:v>https://ror.org/00944ve71</x:v>
      </x:c>
      <x:c r="X47" s="41"/>
      <x:c r="Y47" s="41" t="str">
        <x:v>https://openalex.org/A5102554286; https://doi.org/10.1002/asia.202300681; https://ror.org/00944ve71</x:v>
      </x:c>
      <x:c r="Z47" s="41" t="str">
        <x:v>role; email; telephone; orcid; Google Scholar; Scopus; Web of Science; personal website</x:v>
      </x:c>
      <x:c r="AA47" s="41" t="str">
        <x:v>New Molecular Design, Step‐Saving Synthesis, and Applications of Indolocarbazole Core‐Based Oligo (hetero) arenes</x:v>
      </x:c>
      <x:c r="AB47" s="41" t="str">
        <x:v>10.1002/asia.202300681</x:v>
      </x:c>
    </x:row>
    <x:row r="48">
      <x:c r="A48" s="41" t="str">
        <x:v>unsynced-chahouchin</x:v>
      </x:c>
      <x:c r="B48" s="41" t="str">
        <x:v>Cha, Hou-Chin</x:v>
      </x:c>
      <x:c r="C48" s="41" t="str">
        <x:v>Hou-Chin Cha</x:v>
      </x:c>
      <x:c r="D48" s="41" t="str">
        <x:v>Cha, Hou-Chin; Hou-Chin Cha; H CHA; H.C. Cha</x:v>
      </x:c>
      <x:c r="E48" s="41" t="str">
        <x:v>verified</x:v>
      </x:c>
      <x:c r="F48" s="41" t="str">
        <x:v>ORCID + DOI-constrained OpenAlex match</x:v>
      </x:c>
      <x:c r="G48" s="42" t="str">
        <x:v>1.0</x:v>
      </x:c>
      <x:c r="H48" s="41"/>
      <x:c r="I48" s="43" t="str">
        <x:v>1</x:v>
      </x:c>
      <x:c r="J48" s="43" t="str">
        <x:v>2025</x:v>
      </x:c>
      <x:c r="K48" s="43" t="str">
        <x:v>2025</x:v>
      </x:c>
      <x:c r="L48" s="41"/>
      <x:c r="M48" s="41"/>
      <x:c r="N48" s="41" t="str">
        <x:v>Department of Materials Engineering Ming Chi University of Technology New Taipei City Taiwan</x:v>
      </x:c>
      <x:c r="O48" s="41"/>
      <x:c r="P48" s="41"/>
      <x:c r="Q48" s="41" t="str">
        <x:v>0000-0002-5675-5213</x:v>
      </x:c>
      <x:c r="R48" s="41" t="str">
        <x:v>https://scholar.google.com/citations?user=1TZwvz8AAAAJ&amp;hl=zh-TW</x:v>
      </x:c>
      <x:c r="S48" s="41" t="str">
        <x:v>https://openalex.org/A5067807539</x:v>
      </x:c>
      <x:c r="T48" s="41"/>
      <x:c r="U48" s="41"/>
      <x:c r="V48" s="41"/>
      <x:c r="W48" s="41" t="str">
        <x:v>https://ror.org/04xgh4d03</x:v>
      </x:c>
      <x:c r="X48" s="41"/>
      <x:c r="Y48" s="41" t="str">
        <x:v>https://openalex.org/A5067807539; https://orcid.org/0000-0002-5675-5213; https://doi.org/10.1002/solr.202500538; https://ror.org/04xgh4d03</x:v>
      </x:c>
      <x:c r="Z48" s="41" t="str">
        <x:v>role; email; telephone; Scopus; Web of Science; personal website</x:v>
      </x:c>
      <x:c r="AA48" s="41" t="str">
        <x:v>Round-Robin Interlaboratory Comparison of Large-Area Organic Thin-Film and Perovskite Solar Cells</x:v>
      </x:c>
      <x:c r="AB48" s="41" t="str">
        <x:v>10.1002/solr.202500538</x:v>
      </x:c>
    </x:row>
    <x:row r="49">
      <x:c r="A49" s="41" t="str">
        <x:v>unsynced-changchiachi</x:v>
      </x:c>
      <x:c r="B49" s="41" t="str">
        <x:v>Chang, Chia-Chi</x:v>
      </x:c>
      <x:c r="C49" s="41" t="str">
        <x:v>Chia-Chi Chang</x:v>
      </x:c>
      <x:c r="D49" s="41" t="str">
        <x:v>Chang, Chia-Chi; Chia-Chi Chang; C. Chang; C.-C. CHANG; Chia C. Chang</x:v>
      </x:c>
      <x:c r="E49" s="41" t="str">
        <x:v>verified</x:v>
      </x:c>
      <x:c r="F49" s="41" t="str">
        <x:v>ORCID + DOI-constrained OpenAlex match</x:v>
      </x:c>
      <x:c r="G49" s="42" t="str">
        <x:v>1.0</x:v>
      </x:c>
      <x:c r="H49" s="41"/>
      <x:c r="I49" s="43" t="str">
        <x:v>1</x:v>
      </x:c>
      <x:c r="J49" s="43" t="str">
        <x:v>2025</x:v>
      </x:c>
      <x:c r="K49" s="43" t="str">
        <x:v>2025</x:v>
      </x:c>
      <x:c r="L49" s="41"/>
      <x:c r="M49" s="41"/>
      <x:c r="N49" s="41" t="str">
        <x:v>Department of Chemistry Soochow University Taipei 11102 Taiwan</x:v>
      </x:c>
      <x:c r="O49" s="41"/>
      <x:c r="P49" s="41"/>
      <x:c r="Q49" s="41" t="str">
        <x:v>0000-0002-5257-0238</x:v>
      </x:c>
      <x:c r="R49" s="41"/>
      <x:c r="S49" s="41" t="str">
        <x:v>https://openalex.org/A5049118103</x:v>
      </x:c>
      <x:c r="T49" s="41"/>
      <x:c r="U49" s="41" t="str">
        <x:v>https://www.scopus.com/authid/detail.uri?authorId=14051707300</x:v>
      </x:c>
      <x:c r="V49" s="41"/>
      <x:c r="W49" s="41" t="str">
        <x:v>https://ror.org/05031qk94</x:v>
      </x:c>
      <x:c r="X49" s="41"/>
      <x:c r="Y49" s="41" t="str">
        <x:v>https://openalex.org/A5049118103; https://orcid.org/0000-0002-5257-0238; https://doi.org/10.1002/advs.202410666; https://ror.org/05031qk94</x:v>
      </x:c>
      <x:c r="Z49" s="41" t="str">
        <x:v>role; email; telephone; Google Scholar; Web of Science; personal website</x:v>
      </x:c>
      <x:c r="AA49" s="41" t="str">
        <x:v>Judicious Molecular Design of 5H‑Dithieno[3,2‑b:2′,3′‑d]Pyran-based Hole-Transporting Materials for Highly Efficient and Stable Perovskite Solar Cells</x:v>
      </x:c>
      <x:c r="AB49" s="41" t="str">
        <x:v>10.1002/advs.202410666</x:v>
      </x:c>
    </x:row>
    <x:row r="50">
      <x:c r="A50" s="41" t="str">
        <x:v>unsynced-changtingjui</x:v>
      </x:c>
      <x:c r="B50" s="41" t="str">
        <x:v>Chang, Ting-Jui</x:v>
      </x:c>
      <x:c r="C50" s="41" t="str">
        <x:v>Ting-Jui Chang</x:v>
      </x:c>
      <x:c r="D50" s="41" t="str">
        <x:v>Chang, Ting-Jui; Ting-Jui Chang</x:v>
      </x:c>
      <x:c r="E50" s="41" t="str">
        <x:v>verified</x:v>
      </x:c>
      <x:c r="F50" s="41" t="str">
        <x:v>DOI-constrained OpenAlex match</x:v>
      </x:c>
      <x:c r="G50" s="42" t="str">
        <x:v>1.0</x:v>
      </x:c>
      <x:c r="H50" s="41"/>
      <x:c r="I50" s="43" t="str">
        <x:v>1</x:v>
      </x:c>
      <x:c r="J50" s="43" t="str">
        <x:v>2025</x:v>
      </x:c>
      <x:c r="K50" s="43" t="str">
        <x:v>2025</x:v>
      </x:c>
      <x:c r="L50" s="41"/>
      <x:c r="M50" s="41"/>
      <x:c r="N50" s="41" t="str">
        <x:v>Department of Materials Science and Engineering National Tsing Hua University Hsinchu Taiwan</x:v>
      </x:c>
      <x:c r="O50" s="41"/>
      <x:c r="P50" s="41"/>
      <x:c r="Q50" s="41"/>
      <x:c r="R50" s="41"/>
      <x:c r="S50" s="41" t="str">
        <x:v>https://openalex.org/A5077927977</x:v>
      </x:c>
      <x:c r="T50" s="41"/>
      <x:c r="U50" s="41"/>
      <x:c r="V50" s="41"/>
      <x:c r="W50" s="41" t="str">
        <x:v>https://ror.org/00zdnkx70</x:v>
      </x:c>
      <x:c r="X50" s="41"/>
      <x:c r="Y50" s="41" t="str">
        <x:v>https://openalex.org/A5077927977; https://doi.org/10.1002/solr.202500538; https://ror.org/00zdnkx70</x:v>
      </x:c>
      <x:c r="Z50" s="41" t="str">
        <x:v>role; email; telephone; orcid; Google Scholar; Scopus; Web of Science; personal website</x:v>
      </x:c>
      <x:c r="AA50" s="41" t="str">
        <x:v>Round-Robin Interlaboratory Comparison of Large-Area Organic Thin-Film and Perovskite Solar Cells</x:v>
      </x:c>
      <x:c r="AB50" s="41" t="str">
        <x:v>10.1002/solr.202500538</x:v>
      </x:c>
    </x:row>
    <x:row r="51">
      <x:c r="A51" s="41" t="str">
        <x:v>unsynced-changyinhsuan</x:v>
      </x:c>
      <x:c r="B51" s="41" t="str">
        <x:v>Chang, Yin-Hsuan</x:v>
      </x:c>
      <x:c r="C51" s="41" t="str">
        <x:v>Yin-Hsuan Chang</x:v>
      </x:c>
      <x:c r="D51" s="41" t="str">
        <x:v>Chang, Yin-Hsuan; Yin-Hsuan Chang</x:v>
      </x:c>
      <x:c r="E51" s="41" t="str">
        <x:v>verified</x:v>
      </x:c>
      <x:c r="F51" s="41" t="str">
        <x:v>ORCID + DOI-constrained OpenAlex match</x:v>
      </x:c>
      <x:c r="G51" s="42" t="str">
        <x:v>1.0</x:v>
      </x:c>
      <x:c r="H51" s="41"/>
      <x:c r="I51" s="43" t="str">
        <x:v>1</x:v>
      </x:c>
      <x:c r="J51" s="43" t="str">
        <x:v>2021</x:v>
      </x:c>
      <x:c r="K51" s="43" t="str">
        <x:v>2021</x:v>
      </x:c>
      <x:c r="L51" s="41" t="str">
        <x:v>Postdoctoral Researcher</x:v>
      </x:c>
      <x:c r="M51" s="41" t="str">
        <x:v>Postdoctoral Researcher</x:v>
      </x:c>
      <x:c r="N51" s="41" t="str">
        <x:v>Department of Chemical and MAterials Engineering, Chang Gung University</x:v>
      </x:c>
      <x:c r="O51" s="41"/>
      <x:c r="P51" s="41"/>
      <x:c r="Q51" s="41" t="str">
        <x:v>0000-0002-3452-8108</x:v>
      </x:c>
      <x:c r="R51" s="41" t="str">
        <x:v>https://scholar.google.com/citations?user=co2hrQ4AAAAJ&amp;hl=zh-TW</x:v>
      </x:c>
      <x:c r="S51" s="41" t="str">
        <x:v>https://openalex.org/A5090182923</x:v>
      </x:c>
      <x:c r="T51" s="41"/>
      <x:c r="U51" s="41"/>
      <x:c r="V51" s="41"/>
      <x:c r="W51" s="41" t="str">
        <x:v>https://ror.org/00d80zx46</x:v>
      </x:c>
      <x:c r="X51" s="41"/>
      <x:c r="Y51" s="41" t="str">
        <x:v>https://openalex.org/A5090182923; https://orcid.org/0000-0002-3452-8108; https://doi.org/10.3390/nano11061607; https://ror.org/00d80zx46</x:v>
      </x:c>
      <x:c r="Z51" s="41" t="str">
        <x:v>email; telephone; Scopus; Web of Science; personal website</x:v>
      </x:c>
      <x:c r="AA51" s="41" t="str">
        <x:v>Reducing defects in organic-lead halide perovskite film by delayed thermal annealing combined with KI/I2 for efficient perovskite solar cells</x:v>
      </x:c>
      <x:c r="AB51" s="41" t="str">
        <x:v>10.3390/nano11061607</x:v>
      </x:c>
    </x:row>
    <x:row r="52">
      <x:c r="A52" s="41" t="str">
        <x:v>unsynced-changyufan</x:v>
      </x:c>
      <x:c r="B52" s="41" t="str">
        <x:v>Chang, Yu-Fan</x:v>
      </x:c>
      <x:c r="C52" s="41" t="str">
        <x:v>Yu-Fan Chang</x:v>
      </x:c>
      <x:c r="D52" s="41" t="str">
        <x:v>Chang, Yu-Fan; Yu-Fan Chang</x:v>
      </x:c>
      <x:c r="E52" s="41" t="str">
        <x:v>verified</x:v>
      </x:c>
      <x:c r="F52" s="41" t="str">
        <x:v>DOI-constrained OpenAlex match</x:v>
      </x:c>
      <x:c r="G52" s="42" t="str">
        <x:v>1.0</x:v>
      </x:c>
      <x:c r="H52" s="41"/>
      <x:c r="I52" s="43" t="str">
        <x:v>1</x:v>
      </x:c>
      <x:c r="J52" s="43" t="str">
        <x:v>2025</x:v>
      </x:c>
      <x:c r="K52" s="43" t="str">
        <x:v>2025</x:v>
      </x:c>
      <x:c r="L52" s="41"/>
      <x:c r="M52" s="41"/>
      <x:c r="N52" s="41" t="str">
        <x:v>Ways Technical Corp. Ltd. Taoyuan Taiwan</x:v>
      </x:c>
      <x:c r="O52" s="41"/>
      <x:c r="P52" s="41"/>
      <x:c r="Q52" s="41"/>
      <x:c r="R52" s="41"/>
      <x:c r="S52" s="41" t="str">
        <x:v>https://openalex.org/A5103847969</x:v>
      </x:c>
      <x:c r="T52" s="41"/>
      <x:c r="U52" s="41"/>
      <x:c r="V52" s="41"/>
      <x:c r="W52" s="41" t="str">
        <x:v>https://ror.org/02pgrmd66</x:v>
      </x:c>
      <x:c r="X52" s="41"/>
      <x:c r="Y52" s="41" t="str">
        <x:v>https://openalex.org/A5103847969; https://doi.org/10.1002/solr.202500538; https://ror.org/02pgrmd66</x:v>
      </x:c>
      <x:c r="Z52" s="41" t="str">
        <x:v>role; email; telephone; orcid; Google Scholar; Scopus; Web of Science; personal website</x:v>
      </x:c>
      <x:c r="AA52" s="41" t="str">
        <x:v>Round-Robin Interlaboratory Comparison of Large-Area Organic Thin-Film and Perovskite Solar Cells</x:v>
      </x:c>
      <x:c r="AB52" s="41" t="str">
        <x:v>10.1002/solr.202500538</x:v>
      </x:c>
    </x:row>
    <x:row r="53">
      <x:c r="A53" s="41" t="str">
        <x:v>unsynced-changyuanjay</x:v>
      </x:c>
      <x:c r="B53" s="41" t="str">
        <x:v>Chang, Yuan Jay</x:v>
      </x:c>
      <x:c r="C53" s="41" t="str">
        <x:v>Yuan Jay Chang</x:v>
      </x:c>
      <x:c r="D53" s="41" t="str">
        <x:v>Chang, Yuan Jay; Yuan Jay Chang; Yuan Chang</x:v>
      </x:c>
      <x:c r="E53" s="41" t="str">
        <x:v>verified</x:v>
      </x:c>
      <x:c r="F53" s="41" t="str">
        <x:v>ORCID + DOI-constrained OpenAlex match</x:v>
      </x:c>
      <x:c r="G53" s="42" t="str">
        <x:v>1.0</x:v>
      </x:c>
      <x:c r="H53" s="41"/>
      <x:c r="I53" s="43" t="str">
        <x:v>1</x:v>
      </x:c>
      <x:c r="J53" s="43" t="str">
        <x:v>2023</x:v>
      </x:c>
      <x:c r="K53" s="43" t="str">
        <x:v>2023</x:v>
      </x:c>
      <x:c r="L53" s="41"/>
      <x:c r="M53" s="41"/>
      <x:c r="N53" s="41" t="str">
        <x:v>Tunghai University</x:v>
      </x:c>
      <x:c r="O53" s="41"/>
      <x:c r="P53" s="41"/>
      <x:c r="Q53" s="41" t="str">
        <x:v>0000-0001-9642-6302</x:v>
      </x:c>
      <x:c r="R53" s="41" t="str">
        <x:v>https://scholar.google.com/citations?user=2GO79OgAAAAJ&amp;hl=zh-TW</x:v>
      </x:c>
      <x:c r="S53" s="41" t="str">
        <x:v>https://openalex.org/A5009272753</x:v>
      </x:c>
      <x:c r="T53" s="41"/>
      <x:c r="U53" s="41"/>
      <x:c r="V53" s="41"/>
      <x:c r="W53" s="41" t="str">
        <x:v>https://ror.org/00zhvdn11</x:v>
      </x:c>
      <x:c r="X53" s="41"/>
      <x:c r="Y53" s="41" t="str">
        <x:v>https://openalex.org/A5009272753; https://orcid.org/0000-0001-9642-6302; https://doi.org/10.1016/j.jpowsour.2023.233496; https://ror.org/00zhvdn11</x:v>
      </x:c>
      <x:c r="Z53" s="41" t="str">
        <x:v>role; email; telephone; Scopus; Web of Science; personal website</x:v>
      </x:c>
      <x:c r="AA53" s="41" t="str">
        <x:v>Ladder-type dihydronaphtho [1, 2, 3, 4-rst] pentaphene as building block to construct hole-transporting materials for perovskite solar cells</x:v>
      </x:c>
      <x:c r="AB53" s="41" t="str">
        <x:v>10.1016/j.jpowsour.2023.233496</x:v>
      </x:c>
    </x:row>
    <x:row r="54">
      <x:c r="A54" s="41" t="str">
        <x:v>unsynced-chenchiayuan</x:v>
      </x:c>
      <x:c r="B54" s="41" t="str">
        <x:v>Chen, Chia-Yuan</x:v>
      </x:c>
      <x:c r="C54" s="41" t="str">
        <x:v>Chia-Yuan Chen</x:v>
      </x:c>
      <x:c r="D54" s="41" t="str">
        <x:v>Chen, Chia-Yuan; Chia-Yuan Chen; C. Y. Chen</x:v>
      </x:c>
      <x:c r="E54" s="41" t="str">
        <x:v>verified</x:v>
      </x:c>
      <x:c r="F54" s="41" t="str">
        <x:v>ORCID + DOI-constrained OpenAlex match</x:v>
      </x:c>
      <x:c r="G54" s="42" t="str">
        <x:v>1.0</x:v>
      </x:c>
      <x:c r="H54" s="41"/>
      <x:c r="I54" s="43" t="str">
        <x:v>1</x:v>
      </x:c>
      <x:c r="J54" s="43" t="str">
        <x:v>2025</x:v>
      </x:c>
      <x:c r="K54" s="43" t="str">
        <x:v>2025</x:v>
      </x:c>
      <x:c r="L54" s="41" t="str">
        <x:v>Assistant Professor</x:v>
      </x:c>
      <x:c r="M54" s="41" t="str">
        <x:v>Assistant Professor</x:v>
      </x:c>
      <x:c r="N54" s="41" t="str">
        <x:v>Research Center for New Generation Photovoltaics (RCNPV) &amp; Department of Chemistry, National Central University</x:v>
      </x:c>
      <x:c r="O54" s="41"/>
      <x:c r="P54" s="41"/>
      <x:c r="Q54" s="41" t="str">
        <x:v>0000-0002-7935-4076</x:v>
      </x:c>
      <x:c r="R54" s="41"/>
      <x:c r="S54" s="41" t="str">
        <x:v>https://openalex.org/A5101418642</x:v>
      </x:c>
      <x:c r="T54" s="41"/>
      <x:c r="U54" s="41" t="str">
        <x:v>https://www.scopus.com/authid/detail.uri?authorId=56996278700</x:v>
      </x:c>
      <x:c r="V54" s="41"/>
      <x:c r="W54" s="41" t="str">
        <x:v>https://ror.org/01b8kcc49</x:v>
      </x:c>
      <x:c r="X54" s="41"/>
      <x:c r="Y54" s="41" t="str">
        <x:v>https://openalex.org/A5101418642; https://orcid.org/0000-0002-7935-4076; https://doi.org/10.1002/solr.202500538; https://ror.org/01b8kcc49</x:v>
      </x:c>
      <x:c r="Z54" s="41" t="str">
        <x:v>email; telephone; Google Scholar; Web of Science; personal website</x:v>
      </x:c>
      <x:c r="AA54" s="41" t="str">
        <x:v>Round-Robin Interlaboratory Comparison of Large-Area Organic Thin-Film and Perovskite Solar Cells</x:v>
      </x:c>
      <x:c r="AB54" s="41" t="str">
        <x:v>10.1002/solr.202500538</x:v>
      </x:c>
    </x:row>
    <x:row r="55">
      <x:c r="A55" s="41" t="str">
        <x:v>unsynced-chenchihping</x:v>
      </x:c>
      <x:c r="B55" s="41" t="str">
        <x:v>Chen, Chih-Ping</x:v>
      </x:c>
      <x:c r="C55" s="41" t="str">
        <x:v>Chih-Ping Chen</x:v>
      </x:c>
      <x:c r="D55" s="41" t="str">
        <x:v>Chen, Chih-Ping; Chih-Ping Chen</x:v>
      </x:c>
      <x:c r="E55" s="41" t="str">
        <x:v>verified</x:v>
      </x:c>
      <x:c r="F55" s="41" t="str">
        <x:v>ORCID + DOI-constrained OpenAlex match</x:v>
      </x:c>
      <x:c r="G55" s="42" t="str">
        <x:v>1.0</x:v>
      </x:c>
      <x:c r="H55" s="41"/>
      <x:c r="I55" s="43" t="str">
        <x:v>1</x:v>
      </x:c>
      <x:c r="J55" s="43" t="str">
        <x:v>2025</x:v>
      </x:c>
      <x:c r="K55" s="43" t="str">
        <x:v>2025</x:v>
      </x:c>
      <x:c r="L55" s="41" t="str">
        <x:v>Assistant Professor</x:v>
      </x:c>
      <x:c r="M55" s="41" t="str">
        <x:v>Assistant Professor</x:v>
      </x:c>
      <x:c r="N55" s="41" t="str">
        <x:v>Department of Product Design, Ming Chuan University</x:v>
      </x:c>
      <x:c r="O55" s="41" t="str">
        <x:v>cpchen@mail.mcu.edu.tw</x:v>
      </x:c>
      <x:c r="P55" s="41"/>
      <x:c r="Q55" s="41" t="str">
        <x:v>0000-0001-5219-8221</x:v>
      </x:c>
      <x:c r="R55" s="41" t="str">
        <x:v>https://scholar.google.com/citations?user=XwpHT88AAAAJ&amp;hl=zh-TW</x:v>
      </x:c>
      <x:c r="S55" s="41" t="str">
        <x:v>https://openalex.org/A5101571988</x:v>
      </x:c>
      <x:c r="T55" s="41"/>
      <x:c r="U55" s="41" t="str">
        <x:v>https://www.scopus.com/authid/detail.uri?authorId=57220167820</x:v>
      </x:c>
      <x:c r="V55" s="41" t="str">
        <x:v>https://www.webofscience.com/wos/author/record/HCH-2989-2022</x:v>
      </x:c>
      <x:c r="W55" s="41" t="str">
        <x:v>https://ror.org/02pgvzy25</x:v>
      </x:c>
      <x:c r="X55" s="41" t="str">
        <x:v>https://www2.mcu.edu.tw/eportfolio/teacher/html/eportfoliopost_any.asp?lang=c&amp;tno=1101841</x:v>
      </x:c>
      <x:c r="Y55" s="41" t="str">
        <x:v>https://openalex.org/A5101571988; https://orcid.org/0000-0001-5219-8221; https://doi.org/10.1002/solr.202500538; https://ror.org/02pgvzy25; https://www2.mcu.edu.tw/eportfolio/teacher/html/eportfoliopost_any.asp?lang=c&amp;tno=1101841</x:v>
      </x:c>
      <x:c r="Z55" s="41" t="str">
        <x:v>telephone</x:v>
      </x:c>
      <x:c r="AA55" s="41" t="str">
        <x:v>Round-Robin Interlaboratory Comparison of Large-Area Organic Thin-Film and Perovskite Solar Cells</x:v>
      </x:c>
      <x:c r="AB55" s="41" t="str">
        <x:v>10.1002/solr.202500538</x:v>
      </x:c>
    </x:row>
    <x:row r="56">
      <x:c r="A56" s="41" t="str">
        <x:v>unsynced-chenchinghsu</x:v>
      </x:c>
      <x:c r="B56" s="41" t="str">
        <x:v>Chen, Ching-Hsu</x:v>
      </x:c>
      <x:c r="C56" s="41" t="str">
        <x:v>Ching-Hsu Chen</x:v>
      </x:c>
      <x:c r="D56" s="41" t="str">
        <x:v>Chen, Ching-Hsu; Ching-Hsu Chen</x:v>
      </x:c>
      <x:c r="E56" s="41" t="str">
        <x:v>verified</x:v>
      </x:c>
      <x:c r="F56" s="41" t="str">
        <x:v>ORCID + DOI-constrained OpenAlex match</x:v>
      </x:c>
      <x:c r="G56" s="42" t="str">
        <x:v>1.0</x:v>
      </x:c>
      <x:c r="H56" s="41"/>
      <x:c r="I56" s="43" t="str">
        <x:v>1</x:v>
      </x:c>
      <x:c r="J56" s="43" t="str">
        <x:v>2005</x:v>
      </x:c>
      <x:c r="K56" s="43" t="str">
        <x:v>2005</x:v>
      </x:c>
      <x:c r="L56" s="41"/>
      <x:c r="M56" s="41"/>
      <x:c r="N56" s="41" t="str">
        <x:v>Electrophysics, National Chiayi University</x:v>
      </x:c>
      <x:c r="O56" s="41"/>
      <x:c r="P56" s="41"/>
      <x:c r="Q56" s="41" t="str">
        <x:v>0000-0002-1966-2931</x:v>
      </x:c>
      <x:c r="R56" s="41"/>
      <x:c r="S56" s="41" t="str">
        <x:v>https://openalex.org/A5048067834</x:v>
      </x:c>
      <x:c r="T56" s="41"/>
      <x:c r="U56" s="41"/>
      <x:c r="V56" s="41"/>
      <x:c r="W56" s="41" t="str">
        <x:v>https://ror.org/04gknbs13</x:v>
      </x:c>
      <x:c r="X56" s="41"/>
      <x:c r="Y56" s="41" t="str">
        <x:v>https://openalex.org/A5048067834; https://orcid.org/0000-0002-1966-2931; https://doi.org/10.1016/j.optcom.2004.10.003; https://ror.org/04gknbs13</x:v>
      </x:c>
      <x:c r="Z56" s="41" t="str">
        <x:v>role; email; telephone; Google Scholar; Scopus; Web of Science; personal website</x:v>
      </x:c>
      <x:c r="AA56" s="41" t="str">
        <x:v>Transverse excess noise factor and transverse mode locking in a gain-guided laser</x:v>
      </x:c>
      <x:c r="AB56" s="41" t="str">
        <x:v>10.1016/j.optcom.2004.10.003</x:v>
      </x:c>
    </x:row>
    <x:row r="57">
      <x:c r="A57" s="41" t="str">
        <x:v>unsynced-chenfangchung</x:v>
      </x:c>
      <x:c r="B57" s="41" t="str">
        <x:v>Chen, Fang-Chung</x:v>
      </x:c>
      <x:c r="C57" s="41" t="str">
        <x:v>Fang-Chung Chen</x:v>
      </x:c>
      <x:c r="D57" s="41" t="str">
        <x:v>Chen, Fang-Chung; Fang-Chung Chen; F. C. Chen; Fang C. Chen</x:v>
      </x:c>
      <x:c r="E57" s="41" t="str">
        <x:v>verified</x:v>
      </x:c>
      <x:c r="F57" s="41" t="str">
        <x:v>ORCID + DOI-constrained OpenAlex match</x:v>
      </x:c>
      <x:c r="G57" s="42" t="str">
        <x:v>1.0</x:v>
      </x:c>
      <x:c r="H57" s="41"/>
      <x:c r="I57" s="43" t="str">
        <x:v>1</x:v>
      </x:c>
      <x:c r="J57" s="43" t="str">
        <x:v>2025</x:v>
      </x:c>
      <x:c r="K57" s="43" t="str">
        <x:v>2025</x:v>
      </x:c>
      <x:c r="L57" s="41" t="str">
        <x:v>Professor, Chairman</x:v>
      </x:c>
      <x:c r="M57" s="41" t="str">
        <x:v>Professor, Chairman</x:v>
      </x:c>
      <x:c r="N57" s="41" t="str">
        <x:v>Department of Photonics, National Yang Ming Chiao Tung University</x:v>
      </x:c>
      <x:c r="O57" s="41" t="str">
        <x:v>fcchendop@nycu.edu.tw</x:v>
      </x:c>
      <x:c r="P57" s="41"/>
      <x:c r="Q57" s="41" t="str">
        <x:v>0000-0002-4131-3893</x:v>
      </x:c>
      <x:c r="R57" s="41" t="str">
        <x:v>https://scholar.google.com/citations?user=lO7CbYQAAAAJ&amp;hl=zh-TW</x:v>
      </x:c>
      <x:c r="S57" s="41" t="str">
        <x:v>https://openalex.org/A5046634428</x:v>
      </x:c>
      <x:c r="T57" s="41"/>
      <x:c r="U57" s="41" t="str">
        <x:v>https://www.scopus.com/authid/detail.uri?authorId=35290703500</x:v>
      </x:c>
      <x:c r="V57" s="41" t="str">
        <x:v>http://www.researcherid.com/rid/P-7099-2015</x:v>
      </x:c>
      <x:c r="W57" s="41" t="str">
        <x:v>https://ror.org/00se2k293</x:v>
      </x:c>
      <x:c r="X57" s="41" t="str">
        <x:v>https://fc-richard-chen.github.io/</x:v>
      </x:c>
      <x:c r="Y57" s="41" t="str">
        <x:v>https://openalex.org/A5046634428; https://orcid.org/0000-0002-4131-3893; https://doi.org/10.1002/solr.202500538; https://ror.org/00se2k293; https://fc-richard-chen.github.io/</x:v>
      </x:c>
      <x:c r="Z57" s="41" t="str">
        <x:v>telephone</x:v>
      </x:c>
      <x:c r="AA57" s="41" t="str">
        <x:v>Round-Robin Interlaboratory Comparison of Large-Area Organic Thin-Film and Perovskite Solar Cells</x:v>
      </x:c>
      <x:c r="AB57" s="41" t="str">
        <x:v>10.1002/solr.202500538</x:v>
      </x:c>
    </x:row>
    <x:row r="58">
      <x:c r="A58" s="41" t="str">
        <x:v>unsynced-chenhsiaochien</x:v>
      </x:c>
      <x:c r="B58" s="41" t="str">
        <x:v>Chen, Hsiao-Chien</x:v>
      </x:c>
      <x:c r="C58" s="41" t="str">
        <x:v>Hsiao-Chien Chen</x:v>
      </x:c>
      <x:c r="D58" s="41" t="str">
        <x:v>Chen, Hsiao-Chien; Hsiao-Chien Chen</x:v>
      </x:c>
      <x:c r="E58" s="41" t="str">
        <x:v>verified</x:v>
      </x:c>
      <x:c r="F58" s="41" t="str">
        <x:v>ORCID + DOI-constrained OpenAlex match</x:v>
      </x:c>
      <x:c r="G58" s="42" t="str">
        <x:v>1.0</x:v>
      </x:c>
      <x:c r="H58" s="41"/>
      <x:c r="I58" s="43" t="str">
        <x:v>1</x:v>
      </x:c>
      <x:c r="J58" s="43" t="str">
        <x:v>2024</x:v>
      </x:c>
      <x:c r="K58" s="43" t="str">
        <x:v>2024</x:v>
      </x:c>
      <x:c r="L58" s="41" t="str">
        <x:v>Assistant professor</x:v>
      </x:c>
      <x:c r="M58" s="41" t="str">
        <x:v>Assistant professor</x:v>
      </x:c>
      <x:c r="N58" s="41" t="str">
        <x:v>Center for Reliability Sciences and Technologies, Chang Gung University</x:v>
      </x:c>
      <x:c r="O58" s="41"/>
      <x:c r="P58" s="41"/>
      <x:c r="Q58" s="41" t="str">
        <x:v>0000-0001-6222-5393</x:v>
      </x:c>
      <x:c r="R58" s="41"/>
      <x:c r="S58" s="41" t="str">
        <x:v>https://openalex.org/A5023282498</x:v>
      </x:c>
      <x:c r="T58" s="41"/>
      <x:c r="U58" s="41" t="str">
        <x:v>https://www.scopus.com/authid/detail.uri?authorId=37029723400</x:v>
      </x:c>
      <x:c r="V58" s="41" t="str">
        <x:v>https://www.webofscience.com/wos/author/record/MGV-4769-2025</x:v>
      </x:c>
      <x:c r="W58" s="41" t="str">
        <x:v>https://ror.org/00d80zx46</x:v>
      </x:c>
      <x:c r="X58" s="41"/>
      <x:c r="Y58" s="41" t="str">
        <x:v>https://openalex.org/A5023282498; https://orcid.org/0000-0001-6222-5393; https://doi.org/10.1016/j.jece.2023.111741; https://ror.org/00d80zx46</x:v>
      </x:c>
      <x:c r="Z58" s="41" t="str">
        <x:v>email; telephone; Google Scholar; personal website</x:v>
      </x:c>
      <x:c r="AA58" s="41" t="str">
        <x:v>Additive-free electroless deposition on graphene/copper foil: Photo-induced and defect-assisted approach for environmentally friendly plating</x:v>
      </x:c>
      <x:c r="AB58" s="41" t="str">
        <x:v>10.1016/j.jece.2023.111741</x:v>
      </x:c>
    </x:row>
    <x:row r="59">
      <x:c r="A59" s="41" t="str">
        <x:v>unsynced-chenpeiyu</x:v>
      </x:c>
      <x:c r="B59" s="41" t="str">
        <x:v>Chen, Pei-Yu</x:v>
      </x:c>
      <x:c r="C59" s="41" t="str">
        <x:v>Pei-Yu Chen</x:v>
      </x:c>
      <x:c r="D59" s="41" t="str">
        <x:v>Chen, Pei-Yu; Pei-Yu Chen</x:v>
      </x:c>
      <x:c r="E59" s="41" t="str">
        <x:v>verified</x:v>
      </x:c>
      <x:c r="F59" s="41" t="str">
        <x:v>ORCID + DOI-constrained OpenAlex match</x:v>
      </x:c>
      <x:c r="G59" s="42" t="str">
        <x:v>1.0</x:v>
      </x:c>
      <x:c r="H59" s="41"/>
      <x:c r="I59" s="43" t="str">
        <x:v>1</x:v>
      </x:c>
      <x:c r="J59" s="43" t="str">
        <x:v>2024</x:v>
      </x:c>
      <x:c r="K59" s="43" t="str">
        <x:v>2024</x:v>
      </x:c>
      <x:c r="L59" s="41"/>
      <x:c r="M59" s="41"/>
      <x:c r="N59" s="41" t="str">
        <x:v>Arizona State University</x:v>
      </x:c>
      <x:c r="O59" s="41"/>
      <x:c r="P59" s="41"/>
      <x:c r="Q59" s="41" t="str">
        <x:v>0000-0002-6076-7129</x:v>
      </x:c>
      <x:c r="R59" s="41"/>
      <x:c r="S59" s="41" t="str">
        <x:v>https://openalex.org/A5101699881</x:v>
      </x:c>
      <x:c r="T59" s="41"/>
      <x:c r="U59" s="41"/>
      <x:c r="V59" s="41"/>
      <x:c r="W59" s="41" t="str">
        <x:v>https://ror.org/03efmqc40</x:v>
      </x:c>
      <x:c r="X59" s="41"/>
      <x:c r="Y59" s="41" t="str">
        <x:v>https://openalex.org/A5101699881; https://orcid.org/0000-0002-6076-7129; https://doi.org/10.1016/j.cej.2024.153974; https://ror.org/03efmqc40</x:v>
      </x:c>
      <x:c r="Z59" s="41" t="str">
        <x:v>role; email; telephone; Google Scholar; Scopus; Web of Science; personal website</x:v>
      </x:c>
      <x:c r="AA59" s="41" t="str">
        <x:v>A systematic investigation of PVDF-HFP in perovskite solar cells for improved space mission reliability</x:v>
      </x:c>
      <x:c r="AB59" s="41" t="str">
        <x:v>10.1016/j.cej.2024.153974</x:v>
      </x:c>
    </x:row>
    <x:row r="60">
      <x:c r="A60" s="41" t="str">
        <x:v>unsynced-chenpoyuan</x:v>
      </x:c>
      <x:c r="B60" s="41" t="str">
        <x:v>Chen, Po-Yuan</x:v>
      </x:c>
      <x:c r="C60" s="41" t="str">
        <x:v>Po-Yuan Chen</x:v>
      </x:c>
      <x:c r="D60" s="41" t="str">
        <x:v>Chen, Po-Yuan; Po-Yuan Chen; Po Y. Chen</x:v>
      </x:c>
      <x:c r="E60" s="41" t="str">
        <x:v>verified</x:v>
      </x:c>
      <x:c r="F60" s="41" t="str">
        <x:v>ORCID + DOI-constrained OpenAlex match</x:v>
      </x:c>
      <x:c r="G60" s="42" t="str">
        <x:v>1.0</x:v>
      </x:c>
      <x:c r="H60" s="41"/>
      <x:c r="I60" s="43" t="str">
        <x:v>1</x:v>
      </x:c>
      <x:c r="J60" s="43" t="str">
        <x:v>2025</x:v>
      </x:c>
      <x:c r="K60" s="43" t="str">
        <x:v>2025</x:v>
      </x:c>
      <x:c r="L60" s="41" t="str">
        <x:v>Associate Professor</x:v>
      </x:c>
      <x:c r="M60" s="41" t="str">
        <x:v>Associate Professor</x:v>
      </x:c>
      <x:c r="N60" s="41" t="str">
        <x:v>Biological Science and Technology, China Medical University</x:v>
      </x:c>
      <x:c r="O60" s="41"/>
      <x:c r="P60" s="41"/>
      <x:c r="Q60" s="41" t="str">
        <x:v>0000-0003-2129-2586</x:v>
      </x:c>
      <x:c r="R60" s="41"/>
      <x:c r="S60" s="41" t="str">
        <x:v>https://openalex.org/A5033532448</x:v>
      </x:c>
      <x:c r="T60" s="41"/>
      <x:c r="U60" s="41" t="str">
        <x:v>https://www.scopus.com/authid/detail.uri?authorId=24483294300</x:v>
      </x:c>
      <x:c r="V60" s="41"/>
      <x:c r="W60" s="41" t="str">
        <x:v>https://ror.org/00q017g63</x:v>
      </x:c>
      <x:c r="X60" s="41"/>
      <x:c r="Y60" s="41" t="str">
        <x:v>https://openalex.org/A5033532448; https://orcid.org/0000-0003-2129-2586; https://doi.org/10.1002/solr.202500538; https://ror.org/00q017g63</x:v>
      </x:c>
      <x:c r="Z60" s="41" t="str">
        <x:v>email; telephone; Google Scholar; Web of Science; personal website</x:v>
      </x:c>
      <x:c r="AA60" s="41" t="str">
        <x:v>Round-Robin Interlaboratory Comparison of Large-Area Organic Thin-Film and Perovskite Solar Cells</x:v>
      </x:c>
      <x:c r="AB60" s="41" t="str">
        <x:v>10.1002/solr.202500538</x:v>
      </x:c>
    </x:row>
    <x:row r="61">
      <x:c r="A61" s="41" t="str">
        <x:v>unsynced-chenwentzu</x:v>
      </x:c>
      <x:c r="B61" s="41" t="str">
        <x:v>Chen, Wen-Tzu</x:v>
      </x:c>
      <x:c r="C61" s="41" t="str">
        <x:v>Wen-Tzu Chen</x:v>
      </x:c>
      <x:c r="D61" s="41" t="str">
        <x:v>Chen, Wen-Tzu; Wen-Tzu Chen; W.-T. CHEN</x:v>
      </x:c>
      <x:c r="E61" s="41" t="str">
        <x:v>verified</x:v>
      </x:c>
      <x:c r="F61" s="41" t="str">
        <x:v>DOI-constrained OpenAlex match</x:v>
      </x:c>
      <x:c r="G61" s="42" t="str">
        <x:v>1.0</x:v>
      </x:c>
      <x:c r="H61" s="41"/>
      <x:c r="I61" s="43" t="str">
        <x:v>1</x:v>
      </x:c>
      <x:c r="J61" s="43" t="str">
        <x:v>2025</x:v>
      </x:c>
      <x:c r="K61" s="43" t="str">
        <x:v>2025</x:v>
      </x:c>
      <x:c r="L61" s="41"/>
      <x:c r="M61" s="41"/>
      <x:c r="N61" s="41" t="str">
        <x:v>Department of Chemistry Soochow University Taipei 11102 Taiwan</x:v>
      </x:c>
      <x:c r="O61" s="41"/>
      <x:c r="P61" s="41"/>
      <x:c r="Q61" s="41"/>
      <x:c r="R61" s="41"/>
      <x:c r="S61" s="41" t="str">
        <x:v>https://openalex.org/A5059357498</x:v>
      </x:c>
      <x:c r="T61" s="41"/>
      <x:c r="U61" s="41"/>
      <x:c r="V61" s="41"/>
      <x:c r="W61" s="41" t="str">
        <x:v>https://ror.org/05kvm7n82</x:v>
      </x:c>
      <x:c r="X61" s="41"/>
      <x:c r="Y61" s="41" t="str">
        <x:v>https://openalex.org/A5059357498; https://doi.org/10.1002/asia.202500719; https://ror.org/05kvm7n82</x:v>
      </x:c>
      <x:c r="Z61" s="41" t="str">
        <x:v>role; email; telephone; orcid; Google Scholar; Scopus; Web of Science; personal website</x:v>
      </x:c>
      <x:c r="AA61" s="41" t="str">
        <x:v>Asymmetric Fluorinated Cyclopenta [2, 1‐b: 3, 4‐b'] Dithiophene‐Based Hole‐Transporting Materials for Perovskite Solar Cell</x:v>
      </x:c>
      <x:c r="AB61" s="41" t="str">
        <x:v>10.1002/asia.202500719</x:v>
      </x:c>
    </x:row>
    <x:row r="62">
      <x:c r="A62" s="41" t="str">
        <x:v>unsynced-chenyouren</x:v>
      </x:c>
      <x:c r="B62" s="41" t="str">
        <x:v>Chen, You-Ren</x:v>
      </x:c>
      <x:c r="C62" s="41" t="str">
        <x:v>You-Ren Chen</x:v>
      </x:c>
      <x:c r="D62" s="41" t="str">
        <x:v>Chen, You-Ren; You-Ren Chen</x:v>
      </x:c>
      <x:c r="E62" s="41" t="str">
        <x:v>verified</x:v>
      </x:c>
      <x:c r="F62" s="41" t="str">
        <x:v>ORCID + DOI-constrained OpenAlex match</x:v>
      </x:c>
      <x:c r="G62" s="42" t="str">
        <x:v>1.0</x:v>
      </x:c>
      <x:c r="H62" s="41"/>
      <x:c r="I62" s="43" t="str">
        <x:v>1</x:v>
      </x:c>
      <x:c r="J62" s="43" t="str">
        <x:v>2025</x:v>
      </x:c>
      <x:c r="K62" s="43" t="str">
        <x:v>2025</x:v>
      </x:c>
      <x:c r="L62" s="41"/>
      <x:c r="M62" s="41"/>
      <x:c r="N62" s="41" t="str">
        <x:v>Department of Materials Engineering Ming Chi University of Technology New Taipei City Taiwan</x:v>
      </x:c>
      <x:c r="O62" s="41"/>
      <x:c r="P62" s="41"/>
      <x:c r="Q62" s="41" t="str">
        <x:v>0000-0003-4401-3279</x:v>
      </x:c>
      <x:c r="R62" s="41"/>
      <x:c r="S62" s="41" t="str">
        <x:v>https://openalex.org/A5032842399</x:v>
      </x:c>
      <x:c r="T62" s="41"/>
      <x:c r="U62" s="41"/>
      <x:c r="V62" s="41"/>
      <x:c r="W62" s="41" t="str">
        <x:v>https://ror.org/04xgh4d03</x:v>
      </x:c>
      <x:c r="X62" s="41"/>
      <x:c r="Y62" s="41" t="str">
        <x:v>https://openalex.org/A5032842399; https://orcid.org/0000-0003-4401-3279; https://doi.org/10.1002/solr.202500538; https://ror.org/04xgh4d03</x:v>
      </x:c>
      <x:c r="Z62" s="41" t="str">
        <x:v>role; email; telephone; Google Scholar; Scopus; Web of Science; personal website</x:v>
      </x:c>
      <x:c r="AA62" s="41" t="str">
        <x:v>Round-Robin Interlaboratory Comparison of Large-Area Organic Thin-Film and Perovskite Solar Cells</x:v>
      </x:c>
      <x:c r="AB62" s="41" t="str">
        <x:v>10.1002/solr.202500538</x:v>
      </x:c>
    </x:row>
    <x:row r="63">
      <x:c r="A63" s="41" t="str">
        <x:v>unsynced-chenyuting</x:v>
      </x:c>
      <x:c r="B63" s="41" t="str">
        <x:v>Chen, Yu-Ting</x:v>
      </x:c>
      <x:c r="C63" s="41" t="str">
        <x:v>Yu-Ting Chen</x:v>
      </x:c>
      <x:c r="D63" s="41" t="str">
        <x:v>Chen, Yu-Ting; Yu-Ting Chen; Y.-T. Chen</x:v>
      </x:c>
      <x:c r="E63" s="41" t="str">
        <x:v>verified</x:v>
      </x:c>
      <x:c r="F63" s="41" t="str">
        <x:v>ORCID + DOI-constrained OpenAlex match</x:v>
      </x:c>
      <x:c r="G63" s="42" t="str">
        <x:v>1.0</x:v>
      </x:c>
      <x:c r="H63" s="41"/>
      <x:c r="I63" s="43" t="str">
        <x:v>1</x:v>
      </x:c>
      <x:c r="J63" s="43" t="str">
        <x:v>2025</x:v>
      </x:c>
      <x:c r="K63" s="43" t="str">
        <x:v>2025</x:v>
      </x:c>
      <x:c r="L63" s="41"/>
      <x:c r="M63" s="41"/>
      <x:c r="N63" s="41" t="str">
        <x:v>University of California San Diego</x:v>
      </x:c>
      <x:c r="O63" s="41"/>
      <x:c r="P63" s="41"/>
      <x:c r="Q63" s="41" t="str">
        <x:v>0000-0001-9525-8407</x:v>
      </x:c>
      <x:c r="R63" s="41"/>
      <x:c r="S63" s="41" t="str">
        <x:v>https://openalex.org/A5100436559</x:v>
      </x:c>
      <x:c r="T63" s="41"/>
      <x:c r="U63" s="41" t="str">
        <x:v>https://www.scopus.com/authid/detail.uri?authorId=55721148900</x:v>
      </x:c>
      <x:c r="V63" s="41" t="str">
        <x:v>http://www.researcherid.com/rid/Y-5241-2018</x:v>
      </x:c>
      <x:c r="W63" s="41" t="str">
        <x:v>https://ror.org/0168r3w48</x:v>
      </x:c>
      <x:c r="X63" s="41"/>
      <x:c r="Y63" s="41" t="str">
        <x:v>https://openalex.org/A5100436559; https://orcid.org/0000-0001-9525-8407; https://doi.org/10.1002/solr.202500538; https://ror.org/0168r3w48</x:v>
      </x:c>
      <x:c r="Z63" s="41" t="str">
        <x:v>role; email; telephone; Google Scholar; personal website</x:v>
      </x:c>
      <x:c r="AA63" s="41" t="str">
        <x:v>Round-Robin Interlaboratory Comparison of Large-Area Organic Thin-Film and Perovskite Solar Cells</x:v>
      </x:c>
      <x:c r="AB63" s="41" t="str">
        <x:v>10.1002/solr.202500538</x:v>
      </x:c>
    </x:row>
    <x:row r="64">
      <x:c r="A64" s="41" t="str">
        <x:v>unsynced-chiuchifeng</x:v>
      </x:c>
      <x:c r="B64" s="41" t="str">
        <x:v>Chiu, Chi-Feng</x:v>
      </x:c>
      <x:c r="C64" s="41" t="str">
        <x:v>Chi-Feng Chiu</x:v>
      </x:c>
      <x:c r="D64" s="41" t="str">
        <x:v>Chiu, Chi-Feng; Chi-Feng Chiu</x:v>
      </x:c>
      <x:c r="E64" s="41" t="str">
        <x:v>verified</x:v>
      </x:c>
      <x:c r="F64" s="41" t="str">
        <x:v>DOI-constrained OpenAlex match</x:v>
      </x:c>
      <x:c r="G64" s="42" t="str">
        <x:v>1.0</x:v>
      </x:c>
      <x:c r="H64" s="41"/>
      <x:c r="I64" s="43" t="str">
        <x:v>1</x:v>
      </x:c>
      <x:c r="J64" s="43" t="str">
        <x:v>2025</x:v>
      </x:c>
      <x:c r="K64" s="43" t="str">
        <x:v>2025</x:v>
      </x:c>
      <x:c r="L64" s="41"/>
      <x:c r="M64" s="41"/>
      <x:c r="N64" s="41" t="str">
        <x:v>Department of Chemistry National Central University Taiwan</x:v>
      </x:c>
      <x:c r="O64" s="41"/>
      <x:c r="P64" s="41"/>
      <x:c r="Q64" s="41"/>
      <x:c r="R64" s="41"/>
      <x:c r="S64" s="41" t="str">
        <x:v>https://openalex.org/A5015074030</x:v>
      </x:c>
      <x:c r="T64" s="41"/>
      <x:c r="U64" s="41"/>
      <x:c r="V64" s="41"/>
      <x:c r="W64" s="41" t="str">
        <x:v>https://ror.org/00944ve71</x:v>
      </x:c>
      <x:c r="X64" s="41"/>
      <x:c r="Y64" s="41" t="str">
        <x:v>https://openalex.org/A5015074030; https://doi.org/10.1002/solr.202500538; https://ror.org/00944ve71</x:v>
      </x:c>
      <x:c r="Z64" s="41" t="str">
        <x:v>role; email; telephone; orcid; Google Scholar; Scopus; Web of Science; personal website</x:v>
      </x:c>
      <x:c r="AA64" s="41" t="str">
        <x:v>Round-Robin Interlaboratory Comparison of Large-Area Organic Thin-Film and Perovskite Solar Cells</x:v>
      </x:c>
      <x:c r="AB64" s="41" t="str">
        <x:v>10.1002/solr.202500538</x:v>
      </x:c>
    </x:row>
    <x:row r="65">
      <x:c r="A65" s="41" t="str">
        <x:v>unsynced-choupitai</x:v>
      </x:c>
      <x:c r="B65" s="41" t="str">
        <x:v>Chou, Pi-Tai</x:v>
      </x:c>
      <x:c r="C65" s="41" t="str">
        <x:v>Pi-Tai Chou</x:v>
      </x:c>
      <x:c r="D65" s="41" t="str">
        <x:v>Chou, Pi-Tai; Pi-Tai Chou; Chou, P.-T.; P CHOU; P. T. Chou</x:v>
      </x:c>
      <x:c r="E65" s="41" t="str">
        <x:v>verified</x:v>
      </x:c>
      <x:c r="F65" s="41" t="str">
        <x:v>ORCID + DOI-constrained OpenAlex match</x:v>
      </x:c>
      <x:c r="G65" s="42" t="str">
        <x:v>1.0</x:v>
      </x:c>
      <x:c r="H65" s="41"/>
      <x:c r="I65" s="43" t="str">
        <x:v>1</x:v>
      </x:c>
      <x:c r="J65" s="43" t="str">
        <x:v>2025</x:v>
      </x:c>
      <x:c r="K65" s="43" t="str">
        <x:v>2025</x:v>
      </x:c>
      <x:c r="L65" s="41"/>
      <x:c r="M65" s="41"/>
      <x:c r="N65" s="41" t="str">
        <x:v>Department of Chemistry Center for Emerging Materials and Advanced Devices National Taiwan University Taipei Taiwan</x:v>
      </x:c>
      <x:c r="O65" s="41" t="str">
        <x:v>chop@ntu.edu.tw</x:v>
      </x:c>
      <x:c r="P65" s="41"/>
      <x:c r="Q65" s="41" t="str">
        <x:v>0000-0002-8925-7747</x:v>
      </x:c>
      <x:c r="R65" s="41" t="str">
        <x:v>https://scholar.google.com/citations?user=fu8JeLwAAAAJ&amp;hl=zh-TW</x:v>
      </x:c>
      <x:c r="S65" s="41" t="str">
        <x:v>https://openalex.org/A5032004836</x:v>
      </x:c>
      <x:c r="T65" s="41"/>
      <x:c r="U65" s="41" t="str">
        <x:v>https://www.scopus.com/authid/detail.uri?authorId=7201966354</x:v>
      </x:c>
      <x:c r="V65" s="41"/>
      <x:c r="W65" s="41" t="str">
        <x:v>https://ror.org/00q09pe49</x:v>
      </x:c>
      <x:c r="X65" s="41"/>
      <x:c r="Y65" s="41" t="str">
        <x:v>https://openalex.org/A5032004836; https://orcid.org/0000-0002-8925-7747; https://doi.org/10.1002/solr.202500538; https://ror.org/00q09pe49</x:v>
      </x:c>
      <x:c r="Z65" s="41" t="str">
        <x:v>role; telephone; Web of Science; personal website</x:v>
      </x:c>
      <x:c r="AA65" s="41" t="str">
        <x:v>Round-Robin Interlaboratory Comparison of Large-Area Organic Thin-Film and Perovskite Solar Cells</x:v>
      </x:c>
      <x:c r="AB65" s="41" t="str">
        <x:v>10.1002/solr.202500538</x:v>
      </x:c>
    </x:row>
    <x:row r="66">
      <x:c r="A66" s="41" t="str">
        <x:v>unsynced-chouweichun</x:v>
      </x:c>
      <x:c r="B66" s="41" t="str">
        <x:v>Chou, Wei-Chun</x:v>
      </x:c>
      <x:c r="C66" s="41" t="str">
        <x:v>Wei-Chun Chou</x:v>
      </x:c>
      <x:c r="D66" s="41" t="str">
        <x:v>Chou, Wei-Chun; Wei-Chun Chou</x:v>
      </x:c>
      <x:c r="E66" s="41" t="str">
        <x:v>verified</x:v>
      </x:c>
      <x:c r="F66" s="41" t="str">
        <x:v>DOI-constrained OpenAlex match</x:v>
      </x:c>
      <x:c r="G66" s="42" t="str">
        <x:v>1.0</x:v>
      </x:c>
      <x:c r="H66" s="41"/>
      <x:c r="I66" s="43" t="str">
        <x:v>1</x:v>
      </x:c>
      <x:c r="J66" s="43" t="str">
        <x:v>2025</x:v>
      </x:c>
      <x:c r="K66" s="43" t="str">
        <x:v>2025</x:v>
      </x:c>
      <x:c r="L66" s="41"/>
      <x:c r="M66" s="41"/>
      <x:c r="N66" s="41" t="str">
        <x:v>Department of Chemistry Soochow University Taipei 11102 Taiwan</x:v>
      </x:c>
      <x:c r="O66" s="41"/>
      <x:c r="P66" s="41"/>
      <x:c r="Q66" s="41"/>
      <x:c r="R66" s="41"/>
      <x:c r="S66" s="41" t="str">
        <x:v>https://openalex.org/A5057420331</x:v>
      </x:c>
      <x:c r="T66" s="41"/>
      <x:c r="U66" s="41"/>
      <x:c r="V66" s="41"/>
      <x:c r="W66" s="41" t="str">
        <x:v>https://ror.org/05kvm7n82</x:v>
      </x:c>
      <x:c r="X66" s="41"/>
      <x:c r="Y66" s="41" t="str">
        <x:v>https://openalex.org/A5057420331; https://doi.org/10.1002/advs.202410666; https://ror.org/05kvm7n82</x:v>
      </x:c>
      <x:c r="Z66" s="41" t="str">
        <x:v>role; email; telephone; orcid; Google Scholar; Scopus; Web of Science; personal website</x:v>
      </x:c>
      <x:c r="AA66" s="41" t="str">
        <x:v>Judicious Molecular Design of 5H‑Dithieno[3,2‑b:2′,3′‑d]Pyran-based Hole-Transporting Materials for Highly Efficient and Stable Perovskite Solar Cells</x:v>
      </x:c>
      <x:c r="AB66" s="41" t="str">
        <x:v>10.1002/advs.202410666</x:v>
      </x:c>
    </x:row>
    <x:row r="67">
      <x:c r="A67" s="41" t="str">
        <x:v>unsynced-chuchihwei</x:v>
      </x:c>
      <x:c r="B67" s="41" t="str">
        <x:v>Chu, Chih-Wei</x:v>
      </x:c>
      <x:c r="C67" s="41" t="str">
        <x:v>Chih-Wei Chu</x:v>
      </x:c>
      <x:c r="D67" s="41" t="str">
        <x:v>Chu, Chih-Wei; Chih-Wei Chu; C CHU; C. -W. Chu</x:v>
      </x:c>
      <x:c r="E67" s="41" t="str">
        <x:v>verified</x:v>
      </x:c>
      <x:c r="F67" s="41" t="str">
        <x:v>ORCID + DOI-constrained OpenAlex match</x:v>
      </x:c>
      <x:c r="G67" s="42" t="str">
        <x:v>1.0</x:v>
      </x:c>
      <x:c r="H67" s="41"/>
      <x:c r="I67" s="43" t="str">
        <x:v>1</x:v>
      </x:c>
      <x:c r="J67" s="43" t="str">
        <x:v>2025</x:v>
      </x:c>
      <x:c r="K67" s="43" t="str">
        <x:v>2025</x:v>
      </x:c>
      <x:c r="L67" s="41" t="str">
        <x:v>Research Fellow</x:v>
      </x:c>
      <x:c r="M67" s="41" t="str">
        <x:v>Research Fellow</x:v>
      </x:c>
      <x:c r="N67" s="41" t="str">
        <x:v>Research Center for Applied Sciences, Academia Sinica</x:v>
      </x:c>
      <x:c r="O67" s="41"/>
      <x:c r="P67" s="41"/>
      <x:c r="Q67" s="41" t="str">
        <x:v>0000-0003-0979-1729</x:v>
      </x:c>
      <x:c r="R67" s="41" t="str">
        <x:v>https://scholar.google.com/citations?user=4kAUjCsAAAAJ&amp;hl=zh-TW</x:v>
      </x:c>
      <x:c r="S67" s="41" t="str">
        <x:v>https://openalex.org/A5029399992</x:v>
      </x:c>
      <x:c r="T67" s="41"/>
      <x:c r="U67" s="41"/>
      <x:c r="V67" s="41" t="str">
        <x:v>https://www.webofscience.com/wos/author/record/C-2349-2009</x:v>
      </x:c>
      <x:c r="W67" s="41" t="str">
        <x:v>https://ror.org/00mjawt10</x:v>
      </x:c>
      <x:c r="X67" s="41"/>
      <x:c r="Y67" s="41" t="str">
        <x:v>https://openalex.org/A5029399992; https://orcid.org/0000-0003-0979-1729; https://doi.org/10.1002/solr.202500538; https://ror.org/00mjawt10</x:v>
      </x:c>
      <x:c r="Z67" s="41" t="str">
        <x:v>email; telephone; Scopus; personal website</x:v>
      </x:c>
      <x:c r="AA67" s="41" t="str">
        <x:v>Round-Robin Interlaboratory Comparison of Large-Area Organic Thin-Film and Perovskite Solar Cells</x:v>
      </x:c>
      <x:c r="AB67" s="41" t="str">
        <x:v>10.1002/solr.202500538</x:v>
      </x:c>
    </x:row>
    <x:row r="68">
      <x:c r="A68" s="41" t="str">
        <x:v>unsynced-chuehchuchen</x:v>
      </x:c>
      <x:c r="B68" s="41" t="str">
        <x:v>Chueh, Chu-Chen</x:v>
      </x:c>
      <x:c r="C68" s="41" t="str">
        <x:v>Chu-Chen Chueh</x:v>
      </x:c>
      <x:c r="D68" s="41" t="str">
        <x:v>Chueh, Chu-Chen; Chu-Chen Chueh; C.-C. Chueh</x:v>
      </x:c>
      <x:c r="E68" s="41" t="str">
        <x:v>verified</x:v>
      </x:c>
      <x:c r="F68" s="41" t="str">
        <x:v>ORCID + DOI-constrained OpenAlex match</x:v>
      </x:c>
      <x:c r="G68" s="42" t="str">
        <x:v>1.0</x:v>
      </x:c>
      <x:c r="H68" s="41"/>
      <x:c r="I68" s="43" t="str">
        <x:v>1</x:v>
      </x:c>
      <x:c r="J68" s="43" t="str">
        <x:v>2025</x:v>
      </x:c>
      <x:c r="K68" s="43" t="str">
        <x:v>2025</x:v>
      </x:c>
      <x:c r="L68" s="41"/>
      <x:c r="M68" s="41"/>
      <x:c r="N68" s="41" t="str">
        <x:v>Department of Chemical Engineering National Taiwan University Taipei Taiwan</x:v>
      </x:c>
      <x:c r="O68" s="41" t="str">
        <x:v>chueh1981@gmail.com</x:v>
      </x:c>
      <x:c r="P68" s="41"/>
      <x:c r="Q68" s="41" t="str">
        <x:v>0000-0003-1203-4227</x:v>
      </x:c>
      <x:c r="R68" s="41" t="str">
        <x:v>https://scholar.google.com/citations?user=HLNEIJUAAAAJ&amp;hl=zh-TW</x:v>
      </x:c>
      <x:c r="S68" s="41" t="str">
        <x:v>https://openalex.org/A5060441783</x:v>
      </x:c>
      <x:c r="T68" s="41"/>
      <x:c r="U68" s="41" t="str">
        <x:v>https://www.scopus.com/authid/detail.uri?authorId=21741765500</x:v>
      </x:c>
      <x:c r="V68" s="41"/>
      <x:c r="W68" s="41" t="str">
        <x:v>https://ror.org/05bqach95</x:v>
      </x:c>
      <x:c r="X68" s="41"/>
      <x:c r="Y68" s="41" t="str">
        <x:v>https://openalex.org/A5060441783; https://orcid.org/0000-0003-1203-4227; https://doi.org/10.1002/solr.202500538; https://ror.org/05bqach95</x:v>
      </x:c>
      <x:c r="Z68" s="41" t="str">
        <x:v>role; telephone; Web of Science; personal website</x:v>
      </x:c>
      <x:c r="AA68" s="41" t="str">
        <x:v>Round-Robin Interlaboratory Comparison of Large-Area Organic Thin-Film and Perovskite Solar Cells</x:v>
      </x:c>
      <x:c r="AB68" s="41" t="str">
        <x:v>10.1002/solr.202500538</x:v>
      </x:c>
    </x:row>
    <x:row r="69">
      <x:c r="A69" s="41" t="str">
        <x:v>unsynced-dinarlitarahmarahayu</x:v>
      </x:c>
      <x:c r="B69" s="41" t="str">
        <x:v>Dinarlita, Rahma Rahayu</x:v>
      </x:c>
      <x:c r="C69" s="41" t="str">
        <x:v>Rahma Rahayu Dinarlita</x:v>
      </x:c>
      <x:c r="D69" s="41" t="str">
        <x:v>Dinarlita, Rahma Rahayu; Rahma Rahayu Dinarlita</x:v>
      </x:c>
      <x:c r="E69" s="41" t="str">
        <x:v>verified</x:v>
      </x:c>
      <x:c r="F69" s="41" t="str">
        <x:v>DOI-constrained OpenAlex match</x:v>
      </x:c>
      <x:c r="G69" s="42" t="str">
        <x:v>1.0</x:v>
      </x:c>
      <x:c r="H69" s="41"/>
      <x:c r="I69" s="43" t="str">
        <x:v>1</x:v>
      </x:c>
      <x:c r="J69" s="43" t="str">
        <x:v>2025</x:v>
      </x:c>
      <x:c r="K69" s="43" t="str">
        <x:v>2025</x:v>
      </x:c>
      <x:c r="L69" s="41"/>
      <x:c r="M69" s="41"/>
      <x:c r="N69" s="41" t="str">
        <x:v>Department of Chemistry National Central University Taiwan</x:v>
      </x:c>
      <x:c r="O69" s="41"/>
      <x:c r="P69" s="41"/>
      <x:c r="Q69" s="41"/>
      <x:c r="R69" s="41"/>
      <x:c r="S69" s="41" t="str">
        <x:v>https://openalex.org/A5119935360</x:v>
      </x:c>
      <x:c r="T69" s="41"/>
      <x:c r="U69" s="41"/>
      <x:c r="V69" s="41"/>
      <x:c r="W69" s="41" t="str">
        <x:v>https://ror.org/00944ve71</x:v>
      </x:c>
      <x:c r="X69" s="41"/>
      <x:c r="Y69" s="41" t="str">
        <x:v>https://openalex.org/A5119935360; https://doi.org/10.1002/solr.202500538; https://ror.org/00944ve71</x:v>
      </x:c>
      <x:c r="Z69" s="41" t="str">
        <x:v>role; email; telephone; orcid; Google Scholar; Scopus; Web of Science; personal website</x:v>
      </x:c>
      <x:c r="AA69" s="41" t="str">
        <x:v>Round-Robin Interlaboratory Comparison of Large-Area Organic Thin-Film and Perovskite Solar Cells</x:v>
      </x:c>
      <x:c r="AB69" s="41" t="str">
        <x:v>10.1002/solr.202500538</x:v>
      </x:c>
    </x:row>
    <x:row r="70">
      <x:c r="A70" s="41" t="str">
        <x:v>unsynced-fanrueicheng</x:v>
      </x:c>
      <x:c r="B70" s="41" t="str">
        <x:v>Fan, Ruei-Cheng</x:v>
      </x:c>
      <x:c r="C70" s="41" t="str">
        <x:v>Ruei-Cheng Fan</x:v>
      </x:c>
      <x:c r="D70" s="41" t="str">
        <x:v>Fan, Ruei-Cheng; Ruei-Cheng Fan</x:v>
      </x:c>
      <x:c r="E70" s="41" t="str">
        <x:v>verified</x:v>
      </x:c>
      <x:c r="F70" s="41" t="str">
        <x:v>DOI-constrained OpenAlex match</x:v>
      </x:c>
      <x:c r="G70" s="42" t="str">
        <x:v>1.0</x:v>
      </x:c>
      <x:c r="H70" s="41"/>
      <x:c r="I70" s="43" t="str">
        <x:v>1</x:v>
      </x:c>
      <x:c r="J70" s="43" t="str">
        <x:v>2024</x:v>
      </x:c>
      <x:c r="K70" s="43" t="str">
        <x:v>2024</x:v>
      </x:c>
      <x:c r="L70" s="41"/>
      <x:c r="M70" s="41"/>
      <x:c r="N70" s="41" t="str">
        <x:v>Chang Gung University</x:v>
      </x:c>
      <x:c r="O70" s="41"/>
      <x:c r="P70" s="41"/>
      <x:c r="Q70" s="41"/>
      <x:c r="R70" s="41"/>
      <x:c r="S70" s="41" t="str">
        <x:v>https://openalex.org/A5111094725</x:v>
      </x:c>
      <x:c r="T70" s="41"/>
      <x:c r="U70" s="41"/>
      <x:c r="V70" s="41"/>
      <x:c r="W70" s="41" t="str">
        <x:v>https://ror.org/00d80zx46</x:v>
      </x:c>
      <x:c r="X70" s="41"/>
      <x:c r="Y70" s="41" t="str">
        <x:v>https://openalex.org/A5111094725; https://doi.org/10.1016/j.jece.2023.111741; https://ror.org/00d80zx46</x:v>
      </x:c>
      <x:c r="Z70" s="41" t="str">
        <x:v>role; email; telephone; orcid; Google Scholar; Scopus; Web of Science; personal website</x:v>
      </x:c>
      <x:c r="AA70" s="41" t="str">
        <x:v>Additive-free electroless deposition on graphene/copper foil: Photo-induced and defect-assisted approach for environmentally friendly plating</x:v>
      </x:c>
      <x:c r="AB70" s="41" t="str">
        <x:v>10.1016/j.jece.2023.111741</x:v>
      </x:c>
    </x:row>
    <x:row r="71">
      <x:c r="A71" s="41" t="str">
        <x:v>unsynced-guotzungfang</x:v>
      </x:c>
      <x:c r="B71" s="41" t="str">
        <x:v>Guo, Tzung-Fang</x:v>
      </x:c>
      <x:c r="C71" s="41" t="str">
        <x:v>Tzung-Fang Guo</x:v>
      </x:c>
      <x:c r="D71" s="41" t="str">
        <x:v>Guo, Tzung-Fang; Tzung-Fang Guo; T. F. Guo</x:v>
      </x:c>
      <x:c r="E71" s="41" t="str">
        <x:v>verified</x:v>
      </x:c>
      <x:c r="F71" s="41" t="str">
        <x:v>ORCID + DOI-constrained OpenAlex match</x:v>
      </x:c>
      <x:c r="G71" s="42" t="str">
        <x:v>1.0</x:v>
      </x:c>
      <x:c r="H71" s="41"/>
      <x:c r="I71" s="43" t="str">
        <x:v>1</x:v>
      </x:c>
      <x:c r="J71" s="43" t="str">
        <x:v>2025</x:v>
      </x:c>
      <x:c r="K71" s="43" t="str">
        <x:v>2025</x:v>
      </x:c>
      <x:c r="L71" s="41"/>
      <x:c r="M71" s="41"/>
      <x:c r="N71" s="41" t="str">
        <x:v>Department of Photonics and Program on Key Materials Academy of Innovative Semiconductor and Sustainable Manufacturing National Cheng Kung University Tainan Taiwan</x:v>
      </x:c>
      <x:c r="O71" s="41"/>
      <x:c r="P71" s="41"/>
      <x:c r="Q71" s="41" t="str">
        <x:v>0000-0003-1536-6235</x:v>
      </x:c>
      <x:c r="R71" s="41"/>
      <x:c r="S71" s="41" t="str">
        <x:v>https://openalex.org/A5040915632</x:v>
      </x:c>
      <x:c r="T71" s="41"/>
      <x:c r="U71" s="41"/>
      <x:c r="V71" s="41"/>
      <x:c r="W71" s="41" t="str">
        <x:v>https://ror.org/000zgvm20</x:v>
      </x:c>
      <x:c r="X71" s="41"/>
      <x:c r="Y71" s="41" t="str">
        <x:v>https://openalex.org/A5040915632; https://orcid.org/0000-0003-1536-6235; https://doi.org/10.1002/solr.202500538; https://ror.org/000zgvm20</x:v>
      </x:c>
      <x:c r="Z71" s="41" t="str">
        <x:v>role; email; telephone; Google Scholar; Scopus; Web of Science; personal website</x:v>
      </x:c>
      <x:c r="AA71" s="41" t="str">
        <x:v>Round-Robin Interlaboratory Comparison of Large-Area Organic Thin-Film and Perovskite Solar Cells</x:v>
      </x:c>
      <x:c r="AB71" s="41" t="str">
        <x:v>10.1002/solr.202500538</x:v>
      </x:c>
    </x:row>
    <x:row r="72">
      <x:c r="A72" s="41" t="str">
        <x:v>unsynced-hanboyu</x:v>
      </x:c>
      <x:c r="B72" s="41" t="str">
        <x:v>Han, Bo-Yu</x:v>
      </x:c>
      <x:c r="C72" s="41" t="str">
        <x:v>Bo-Yu Han</x:v>
      </x:c>
      <x:c r="D72" s="41" t="str">
        <x:v>Han, Bo-Yu; Bo-Yu Han</x:v>
      </x:c>
      <x:c r="E72" s="41" t="str">
        <x:v>verified</x:v>
      </x:c>
      <x:c r="F72" s="41" t="str">
        <x:v>DOI-constrained OpenAlex match</x:v>
      </x:c>
      <x:c r="G72" s="42" t="str">
        <x:v>1.0</x:v>
      </x:c>
      <x:c r="H72" s="41"/>
      <x:c r="I72" s="43" t="str">
        <x:v>1</x:v>
      </x:c>
      <x:c r="J72" s="43" t="str">
        <x:v>2025</x:v>
      </x:c>
      <x:c r="K72" s="43" t="str">
        <x:v>2025</x:v>
      </x:c>
      <x:c r="L72" s="41"/>
      <x:c r="M72" s="41"/>
      <x:c r="N72" s="41" t="str">
        <x:v>Department of Chemistry National Taiwan Normal University Taipei Taiwan</x:v>
      </x:c>
      <x:c r="O72" s="41"/>
      <x:c r="P72" s="41"/>
      <x:c r="Q72" s="41"/>
      <x:c r="R72" s="41"/>
      <x:c r="S72" s="41" t="str">
        <x:v>https://openalex.org/A5049027375</x:v>
      </x:c>
      <x:c r="T72" s="41"/>
      <x:c r="U72" s="41"/>
      <x:c r="V72" s="41"/>
      <x:c r="W72" s="41" t="str">
        <x:v>https://ror.org/059dkdx38</x:v>
      </x:c>
      <x:c r="X72" s="41"/>
      <x:c r="Y72" s="41" t="str">
        <x:v>https://openalex.org/A5049027375; https://doi.org/10.1002/solr.202500538; https://ror.org/059dkdx38</x:v>
      </x:c>
      <x:c r="Z72" s="41" t="str">
        <x:v>role; email; telephone; orcid; Google Scholar; Scopus; Web of Science; personal website</x:v>
      </x:c>
      <x:c r="AA72" s="41" t="str">
        <x:v>Round-Robin Interlaboratory Comparison of Large-Area Organic Thin-Film and Perovskite Solar Cells</x:v>
      </x:c>
      <x:c r="AB72" s="41" t="str">
        <x:v>10.1002/solr.202500538</x:v>
      </x:c>
    </x:row>
    <x:row r="73">
      <x:c r="A73" s="41" t="str">
        <x:v>unsynced-hsiehwengfeng</x:v>
      </x:c>
      <x:c r="B73" s="41" t="str">
        <x:v>Hsieh, Weng-Feng</x:v>
      </x:c>
      <x:c r="C73" s="41" t="str">
        <x:v>Wen-Feng Hsieh</x:v>
      </x:c>
      <x:c r="D73" s="41" t="str">
        <x:v>Hsieh, Weng-Feng; Weng-Feng Hsieh; Hsieh, Wen-Feng; Wen-Feng Hsieh; 謝文峰</x:v>
      </x:c>
      <x:c r="E73" s="41" t="str">
        <x:v>verified</x:v>
      </x:c>
      <x:c r="F73" s="41" t="str">
        <x:v>Official NYCU faculty page + DOI-constrained author match</x:v>
      </x:c>
      <x:c r="G73" s="42" t="str">
        <x:v>1.0</x:v>
      </x:c>
      <x:c r="H73" s="41" t="str">
        <x:v>unsynced-hsiehwenfeng</x:v>
      </x:c>
      <x:c r="I73" s="43" t="str">
        <x:v>1</x:v>
      </x:c>
      <x:c r="J73" s="43" t="str">
        <x:v>2010</x:v>
      </x:c>
      <x:c r="K73" s="43" t="str">
        <x:v>2010</x:v>
      </x:c>
      <x:c r="L73" s="41" t="str">
        <x:v>Professor Emeritus</x:v>
      </x:c>
      <x:c r="M73" s="41" t="str">
        <x:v>Retired Professor</x:v>
      </x:c>
      <x:c r="N73" s="41" t="str">
        <x:v>Department of Photonics, National Yang Ming Chiao Tung University</x:v>
      </x:c>
      <x:c r="O73" s="41" t="str">
        <x:v>wfhsieh1955@gmail.com</x:v>
      </x:c>
      <x:c r="P73" s="41"/>
      <x:c r="Q73" s="41"/>
      <x:c r="R73" s="41"/>
      <x:c r="S73" s="41" t="str">
        <x:v>https://openalex.org/A5028020777</x:v>
      </x:c>
      <x:c r="T73" s="41"/>
      <x:c r="U73" s="41"/>
      <x:c r="V73" s="41"/>
      <x:c r="W73" s="41" t="str">
        <x:v>https://dop.nycu.edu.tw/ch/people_ii.html?tID=112</x:v>
      </x:c>
      <x:c r="X73" s="41" t="str">
        <x:v>https://wfhsieh1955.blogspot.com/</x:v>
      </x:c>
      <x:c r="Y73" s="41" t="str">
        <x:v>https://openalex.org/A5028020777; https://doi.org/10.1016/j.tsf.2009.11.058; https://ror.org/00se2k293; https://dop.nycu.edu.tw/ch/people_ii.html?tID=112; https://wfhsieh1955.blogspot.com/; https://openalex.org/A5108372667</x:v>
      </x:c>
      <x:c r="Z73" s="41" t="str">
        <x:v>telephone; orcid; Google Scholar; Scopus; Web of Science</x:v>
      </x:c>
      <x:c r="AA73" s="41" t="str">
        <x:v>Effects of mesoscopic poly (3, 4-ethylenedioxythiophene) films as counter electrodes for dye-sensitized solar cells</x:v>
      </x:c>
      <x:c r="AB73" s="41" t="str">
        <x:v>10.1016/j.tsf.2009.11.058</x:v>
      </x:c>
    </x:row>
    <x:row r="74">
      <x:c r="A74" s="41" t="str">
        <x:v>unsynced-hsuchiatse</x:v>
      </x:c>
      <x:c r="B74" s="41" t="str">
        <x:v>Hsu, Chia-Tse</x:v>
      </x:c>
      <x:c r="C74" s="41" t="str">
        <x:v>Chia-Tse Hsu</x:v>
      </x:c>
      <x:c r="D74" s="41" t="str">
        <x:v>Hsu, Chia-Tse; Chia-Tse Hsu</x:v>
      </x:c>
      <x:c r="E74" s="41" t="str">
        <x:v>verified</x:v>
      </x:c>
      <x:c r="F74" s="41" t="str">
        <x:v>Crossref DOI author match</x:v>
      </x:c>
      <x:c r="G74" s="42" t="str">
        <x:v>1.0</x:v>
      </x:c>
      <x:c r="H74" s="41"/>
      <x:c r="I74" s="43" t="str">
        <x:v>1</x:v>
      </x:c>
      <x:c r="J74" s="43" t="str">
        <x:v>2025</x:v>
      </x:c>
      <x:c r="K74" s="43" t="str">
        <x:v>2025</x:v>
      </x:c>
      <x:c r="L74" s="41"/>
      <x:c r="M74" s="41"/>
      <x:c r="N74" s="41" t="str">
        <x:v>Institute of Electro‐Optical Engineering National Yang Ming Chiao Tung University Hsinchu Taiwan</x:v>
      </x:c>
      <x:c r="O74" s="41"/>
      <x:c r="P74" s="41"/>
      <x:c r="Q74" s="41"/>
      <x:c r="R74" s="41"/>
      <x:c r="S74" s="41"/>
      <x:c r="T74" s="41"/>
      <x:c r="U74" s="41"/>
      <x:c r="V74" s="41"/>
      <x:c r="W74" s="41" t="str">
        <x:v>https://ror.org/00se2k293</x:v>
      </x:c>
      <x:c r="X74" s="41"/>
      <x:c r="Y74" s="41" t="str">
        <x:v>https://doi.org/10.1002/solr.202500538; https://ror.org/00se2k293</x:v>
      </x:c>
      <x:c r="Z74" s="41" t="str">
        <x:v>role; email; telephone; orcid; Google Scholar; OpenAlex; Scopus; Web of Science; personal website</x:v>
      </x:c>
      <x:c r="AA74" s="41" t="str">
        <x:v>Round-Robin Interlaboratory Comparison of Large-Area Organic Thin-Film and Perovskite Solar Cells</x:v>
      </x:c>
      <x:c r="AB74" s="41" t="str">
        <x:v>10.1002/solr.202500538</x:v>
      </x:c>
    </x:row>
    <x:row r="75">
      <x:c r="A75" s="41" t="str">
        <x:v>unsynced-hsujrsi</x:v>
      </x:c>
      <x:c r="B75" s="41" t="str">
        <x:v>Hsu, Jr-Si</x:v>
      </x:c>
      <x:c r="C75" s="41" t="str">
        <x:v>Jr-Si Hsu</x:v>
      </x:c>
      <x:c r="D75" s="41" t="str">
        <x:v>Hsu, Jr-Si; Jr-Si Hsu</x:v>
      </x:c>
      <x:c r="E75" s="41" t="str">
        <x:v>verified</x:v>
      </x:c>
      <x:c r="F75" s="41" t="str">
        <x:v>Crossref DOI author match</x:v>
      </x:c>
      <x:c r="G75" s="42" t="str">
        <x:v>1.0</x:v>
      </x:c>
      <x:c r="H75" s="41"/>
      <x:c r="I75" s="43" t="str">
        <x:v>1</x:v>
      </x:c>
      <x:c r="J75" s="43" t="str">
        <x:v>2026</x:v>
      </x:c>
      <x:c r="K75" s="43" t="str">
        <x:v>2026</x:v>
      </x:c>
      <x:c r="L75" s="41"/>
      <x:c r="M75" s="41"/>
      <x:c r="N75" s="41" t="str">
        <x:v>Department of Chemistry Chung Yuan Christian University Zhongli Taoyuan 320 Taiwan</x:v>
      </x:c>
      <x:c r="O75" s="41"/>
      <x:c r="P75" s="41"/>
      <x:c r="Q75" s="41"/>
      <x:c r="R75" s="41"/>
      <x:c r="S75" s="41"/>
      <x:c r="T75" s="41"/>
      <x:c r="U75" s="41"/>
      <x:c r="V75" s="41"/>
      <x:c r="W75" s="41" t="str">
        <x:v>https://ror.org/02w8ws377</x:v>
      </x:c>
      <x:c r="X75" s="41"/>
      <x:c r="Y75" s="41" t="str">
        <x:v>https://doi.org/10.1002/asia.70245; https://ror.org/02w8ws377</x:v>
      </x:c>
      <x:c r="Z75" s="41" t="str">
        <x:v>role; email; telephone; orcid; Google Scholar; OpenAlex; Scopus; Web of Science; personal website</x:v>
      </x:c>
      <x:c r="AA75" s="41" t="str">
        <x:v>Fused Dithienoheterocycle‐Based Hole‐Transporting Materials for Efficient Perovskite Solar Cells</x:v>
      </x:c>
      <x:c r="AB75" s="41" t="str">
        <x:v>10.1002/asia.70245</x:v>
      </x:c>
    </x:row>
    <x:row r="76">
      <x:c r="A76" s="41" t="str">
        <x:v>unsynced-hsuposhun</x:v>
      </x:c>
      <x:c r="B76" s="41" t="str">
        <x:v>Hsu, Po-Shun</x:v>
      </x:c>
      <x:c r="C76" s="41" t="str">
        <x:v>Po-Shun Hsu</x:v>
      </x:c>
      <x:c r="D76" s="41" t="str">
        <x:v>Hsu, Po-Shun; Po-Shun Hsu; P. Hsu; P.-S. Hsu</x:v>
      </x:c>
      <x:c r="E76" s="41" t="str">
        <x:v>verified</x:v>
      </x:c>
      <x:c r="F76" s="41" t="str">
        <x:v>ORCID + DOI-constrained OpenAlex match</x:v>
      </x:c>
      <x:c r="G76" s="42" t="str">
        <x:v>1.0</x:v>
      </x:c>
      <x:c r="H76" s="41"/>
      <x:c r="I76" s="43" t="str">
        <x:v>1</x:v>
      </x:c>
      <x:c r="J76" s="43" t="str">
        <x:v>2025</x:v>
      </x:c>
      <x:c r="K76" s="43" t="str">
        <x:v>2025</x:v>
      </x:c>
      <x:c r="L76" s="41"/>
      <x:c r="M76" s="41"/>
      <x:c r="N76" s="41" t="str">
        <x:v>Department of Chemical Engineering Institute of Polymer Science and Engineering and Advanced Research Center for Green Materials Science and Technology National Taiwan University Taipei Taiwan</x:v>
      </x:c>
      <x:c r="O76" s="41"/>
      <x:c r="P76" s="41"/>
      <x:c r="Q76" s="41" t="str">
        <x:v>0000-0001-6336-6091</x:v>
      </x:c>
      <x:c r="R76" s="41"/>
      <x:c r="S76" s="41" t="str">
        <x:v>https://openalex.org/A5044879049</x:v>
      </x:c>
      <x:c r="T76" s="41"/>
      <x:c r="U76" s="41"/>
      <x:c r="V76" s="41"/>
      <x:c r="W76" s="41" t="str">
        <x:v>https://ror.org/02bn97g32</x:v>
      </x:c>
      <x:c r="X76" s="41"/>
      <x:c r="Y76" s="41" t="str">
        <x:v>https://openalex.org/A5044879049; https://orcid.org/0000-0001-6336-6091; https://doi.org/10.1002/solr.202500538; https://ror.org/02bn97g32</x:v>
      </x:c>
      <x:c r="Z76" s="41" t="str">
        <x:v>role; email; telephone; Google Scholar; Scopus; Web of Science; personal website</x:v>
      </x:c>
      <x:c r="AA76" s="41" t="str">
        <x:v>Round-Robin Interlaboratory Comparison of Large-Area Organic Thin-Film and Perovskite Solar Cells</x:v>
      </x:c>
      <x:c r="AB76" s="41" t="str">
        <x:v>10.1002/solr.202500538</x:v>
      </x:c>
    </x:row>
    <x:row r="77">
      <x:c r="A77" s="41" t="str">
        <x:v>unsynced-huchiahui</x:v>
      </x:c>
      <x:c r="B77" s="41" t="str">
        <x:v>Hu, Chia Hui</x:v>
      </x:c>
      <x:c r="C77" s="41" t="str">
        <x:v>Chia Hui Hu</x:v>
      </x:c>
      <x:c r="D77" s="41" t="str">
        <x:v>Hu, Chia Hui; Chia Hui Hu</x:v>
      </x:c>
      <x:c r="E77" s="41" t="str">
        <x:v>verified</x:v>
      </x:c>
      <x:c r="F77" s="41" t="str">
        <x:v>Crossref DOI author match</x:v>
      </x:c>
      <x:c r="G77" s="42" t="str">
        <x:v>1.0</x:v>
      </x:c>
      <x:c r="H77" s="41"/>
      <x:c r="I77" s="43" t="str">
        <x:v>1</x:v>
      </x:c>
      <x:c r="J77" s="43" t="str">
        <x:v>2025</x:v>
      </x:c>
      <x:c r="K77" s="43" t="str">
        <x:v>2025</x:v>
      </x:c>
      <x:c r="L77" s="41"/>
      <x:c r="M77" s="41"/>
      <x:c r="N77" s="41" t="str">
        <x:v>Department of Chemistry Soochow University Taipei 11102 Taiwan</x:v>
      </x:c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 t="str">
        <x:v>role; email; telephone; orcid; Google Scholar; OpenAlex; Scopus; Web of Science; institution page; personal website</x:v>
      </x:c>
      <x:c r="AA77" s="41" t="str">
        <x:v>Judicious Molecular Design of 5H‑Dithieno[3,2‑b:2′,3′‑d]Pyran-based Hole-Transporting Materials for Highly Efficient and Stable Perovskite Solar Cells</x:v>
      </x:c>
      <x:c r="AB77" s="41" t="str">
        <x:v>10.1002/advs.202410666</x:v>
      </x:c>
    </x:row>
    <x:row r="78">
      <x:c r="A78" s="41" t="str">
        <x:v>unsynced-huangchienlin</x:v>
      </x:c>
      <x:c r="B78" s="41" t="str">
        <x:v>Huang, Chien-Lin</x:v>
      </x:c>
      <x:c r="C78" s="41" t="str">
        <x:v>Chien-Lin Huang</x:v>
      </x:c>
      <x:c r="D78" s="41" t="str">
        <x:v>Huang, Chien-Lin; Chien-Lin Huang</x:v>
      </x:c>
      <x:c r="E78" s="41" t="str">
        <x:v>verified</x:v>
      </x:c>
      <x:c r="F78" s="41" t="str">
        <x:v>ORCID + DOI-constrained OpenAlex match</x:v>
      </x:c>
      <x:c r="G78" s="42" t="str">
        <x:v>1.0</x:v>
      </x:c>
      <x:c r="H78" s="41"/>
      <x:c r="I78" s="43" t="str">
        <x:v>1</x:v>
      </x:c>
      <x:c r="J78" s="43" t="str">
        <x:v>2021</x:v>
      </x:c>
      <x:c r="K78" s="43" t="str">
        <x:v>2021</x:v>
      </x:c>
      <x:c r="L78" s="41" t="str">
        <x:v>Associate Professor</x:v>
      </x:c>
      <x:c r="M78" s="41" t="str">
        <x:v>Associate Professor</x:v>
      </x:c>
      <x:c r="N78" s="41" t="str">
        <x:v>Fiber and Composite Material, Feng Chia University</x:v>
      </x:c>
      <x:c r="O78" s="41"/>
      <x:c r="P78" s="41"/>
      <x:c r="Q78" s="41" t="str">
        <x:v>0000-0002-4987-9429</x:v>
      </x:c>
      <x:c r="R78" s="41"/>
      <x:c r="S78" s="41" t="str">
        <x:v>https://openalex.org/A5060455058</x:v>
      </x:c>
      <x:c r="T78" s="41"/>
      <x:c r="U78" s="41" t="str">
        <x:v>https://www.scopus.com/authid/detail.uri?authorId=55325038600</x:v>
      </x:c>
      <x:c r="V78" s="41"/>
      <x:c r="W78" s="41" t="str">
        <x:v>https://ror.org/05vhczg54</x:v>
      </x:c>
      <x:c r="X78" s="41"/>
      <x:c r="Y78" s="41" t="str">
        <x:v>https://openalex.org/A5060455058; https://orcid.org/0000-0002-4987-9429; https://doi.org/10.3390/polym13234246; https://ror.org/05vhczg54</x:v>
      </x:c>
      <x:c r="Z78" s="41" t="str">
        <x:v>email; telephone; Google Scholar; Web of Science; personal website</x:v>
      </x:c>
      <x:c r="AA78" s="41" t="str">
        <x:v>Microstructure and Biological Properties of Electrospun In Situ Polymerization of Polycaprolactone-Graft-Polyacrylic Acid Nanofibers and Its Composite Nanofiber Dressings</x:v>
      </x:c>
      <x:c r="AB78" s="41" t="str">
        <x:v>10.3390/polym13234246</x:v>
      </x:c>
    </x:row>
    <x:row r="79">
      <x:c r="A79" s="41" t="str">
        <x:v>unsynced-huangyaoshen</x:v>
      </x:c>
      <x:c r="B79" s="41" t="str">
        <x:v>Huang, Yao-Shen</x:v>
      </x:c>
      <x:c r="C79" s="41" t="str">
        <x:v>Yao-Shen Huang</x:v>
      </x:c>
      <x:c r="D79" s="41" t="str">
        <x:v>Huang, Yao-Shen; Yao-Shen Huang</x:v>
      </x:c>
      <x:c r="E79" s="41" t="str">
        <x:v>verified</x:v>
      </x:c>
      <x:c r="F79" s="41" t="str">
        <x:v>DOI-constrained OpenAlex match</x:v>
      </x:c>
      <x:c r="G79" s="42" t="str">
        <x:v>1.0</x:v>
      </x:c>
      <x:c r="H79" s="41"/>
      <x:c r="I79" s="43" t="str">
        <x:v>1</x:v>
      </x:c>
      <x:c r="J79" s="43" t="str">
        <x:v>2023</x:v>
      </x:c>
      <x:c r="K79" s="43" t="str">
        <x:v>2023</x:v>
      </x:c>
      <x:c r="L79" s="41"/>
      <x:c r="M79" s="41"/>
      <x:c r="N79" s="41" t="str">
        <x:v>Department of Chemistry Soochow University Taipei 11102 Taiwan</x:v>
      </x:c>
      <x:c r="O79" s="41"/>
      <x:c r="P79" s="41"/>
      <x:c r="Q79" s="41"/>
      <x:c r="R79" s="41"/>
      <x:c r="S79" s="41" t="str">
        <x:v>https://openalex.org/A5063854259</x:v>
      </x:c>
      <x:c r="T79" s="41"/>
      <x:c r="U79" s="41"/>
      <x:c r="V79" s="41"/>
      <x:c r="W79" s="41" t="str">
        <x:v>https://ror.org/00d80zx46</x:v>
      </x:c>
      <x:c r="X79" s="41"/>
      <x:c r="Y79" s="41" t="str">
        <x:v>https://openalex.org/A5063854259; https://doi.org/10.1002/adfm.202306367; https://ror.org/00d80zx46</x:v>
      </x:c>
      <x:c r="Z79" s="41" t="str">
        <x:v>role; email; telephone; orcid; Google Scholar; Scopus; Web of Science; personal website</x:v>
      </x:c>
      <x:c r="AA79" s="41" t="str">
        <x:v>Fluorinated Pentafulvalene‐Fused Hole‐Transporting Material Enhances the Performance of Perovskite Solar Cells with Efficiency Exceeding 23%</x:v>
      </x:c>
      <x:c r="AB79" s="41" t="str">
        <x:v>10.1002/adfm.202306367</x:v>
      </x:c>
    </x:row>
    <x:row r="80">
      <x:c r="A80" s="41" t="str">
        <x:v>unsynced-huangyijen</x:v>
      </x:c>
      <x:c r="B80" s="41" t="str">
        <x:v>Huang, Yi-Jen</x:v>
      </x:c>
      <x:c r="C80" s="41" t="str">
        <x:v>Yi-Jen Huang</x:v>
      </x:c>
      <x:c r="D80" s="41" t="str">
        <x:v>Huang, Yi-Jen; Yi-Jen Huang; Y. J. Huang</x:v>
      </x:c>
      <x:c r="E80" s="41" t="str">
        <x:v>verified</x:v>
      </x:c>
      <x:c r="F80" s="41" t="str">
        <x:v>ORCID + DOI-constrained OpenAlex match</x:v>
      </x:c>
      <x:c r="G80" s="42" t="str">
        <x:v>1.0</x:v>
      </x:c>
      <x:c r="H80" s="41"/>
      <x:c r="I80" s="43" t="str">
        <x:v>1</x:v>
      </x:c>
      <x:c r="J80" s="43" t="str">
        <x:v>2021</x:v>
      </x:c>
      <x:c r="K80" s="43" t="str">
        <x:v>2021</x:v>
      </x:c>
      <x:c r="L80" s="41"/>
      <x:c r="M80" s="41"/>
      <x:c r="N80" s="41" t="str">
        <x:v>Materials and Chemical Engineering, National Chin-Yi University of Technology</x:v>
      </x:c>
      <x:c r="O80" s="41"/>
      <x:c r="P80" s="41"/>
      <x:c r="Q80" s="41" t="str">
        <x:v>0000-0002-8948-6988</x:v>
      </x:c>
      <x:c r="R80" s="41"/>
      <x:c r="S80" s="41" t="str">
        <x:v>https://openalex.org/A5103278966</x:v>
      </x:c>
      <x:c r="T80" s="41"/>
      <x:c r="U80" s="41" t="str">
        <x:v>https://www.scopus.com/authid/detail.uri?authorId=57223193925</x:v>
      </x:c>
      <x:c r="V80" s="41"/>
      <x:c r="W80" s="41" t="str">
        <x:v>https://ror.org/040bs6h16</x:v>
      </x:c>
      <x:c r="X80" s="41"/>
      <x:c r="Y80" s="41" t="str">
        <x:v>https://openalex.org/A5103278966; https://orcid.org/0000-0002-8948-6988; https://doi.org/10.3390/polym13234246; https://ror.org/040bs6h16</x:v>
      </x:c>
      <x:c r="Z80" s="41" t="str">
        <x:v>role; email; telephone; Google Scholar; Web of Science; personal website</x:v>
      </x:c>
      <x:c r="AA80" s="41" t="str">
        <x:v>Microstructure and Biological Properties of Electrospun In Situ Polymerization of Polycaprolactone-Graft-Polyacrylic Acid Nanofibers and Its Composite Nanofiber Dressings</x:v>
      </x:c>
      <x:c r="AB80" s="41" t="str">
        <x:v>10.3390/polym13234246</x:v>
      </x:c>
    </x:row>
    <x:row r="81">
      <x:c r="A81" s="41" t="str">
        <x:v>unsynced-huangzhihao</x:v>
      </x:c>
      <x:c r="B81" s="41" t="str">
        <x:v>Huang, Zhi-Hao</x:v>
      </x:c>
      <x:c r="C81" s="41" t="str">
        <x:v>Zhi-Hao Huang</x:v>
      </x:c>
      <x:c r="D81" s="41" t="str">
        <x:v>Huang, Zhi-Hao; Zhi-Hao Huang</x:v>
      </x:c>
      <x:c r="E81" s="41" t="str">
        <x:v>verified</x:v>
      </x:c>
      <x:c r="F81" s="41" t="str">
        <x:v>ORCID + DOI-constrained OpenAlex match</x:v>
      </x:c>
      <x:c r="G81" s="42" t="str">
        <x:v>1.0</x:v>
      </x:c>
      <x:c r="H81" s="41"/>
      <x:c r="I81" s="43" t="str">
        <x:v>1</x:v>
      </x:c>
      <x:c r="J81" s="43" t="str">
        <x:v>2025</x:v>
      </x:c>
      <x:c r="K81" s="43" t="str">
        <x:v>2025</x:v>
      </x:c>
      <x:c r="L81" s="41" t="str">
        <x:v>Associate Research Professor</x:v>
      </x:c>
      <x:c r="M81" s="41" t="str">
        <x:v>Associate Research Professor</x:v>
      </x:c>
      <x:c r="N81" s="41" t="str">
        <x:v>Department of Polymer Science and EngineeringCollege of Chemistry, Chemical Engineering and Material Science, Soochow University</x:v>
      </x:c>
      <x:c r="O81" s="41"/>
      <x:c r="P81" s="41"/>
      <x:c r="Q81" s="41" t="str">
        <x:v>0000-0002-2682-9007</x:v>
      </x:c>
      <x:c r="R81" s="41"/>
      <x:c r="S81" s="41" t="str">
        <x:v>https://openalex.org/A5025209912</x:v>
      </x:c>
      <x:c r="T81" s="41"/>
      <x:c r="U81" s="41"/>
      <x:c r="V81" s="41"/>
      <x:c r="W81" s="41" t="str">
        <x:v>https://ror.org/04xgh4d03</x:v>
      </x:c>
      <x:c r="X81" s="41" t="str">
        <x:v>http://www.polychem.suda.edu.cn</x:v>
      </x:c>
      <x:c r="Y81" s="41" t="str">
        <x:v>https://openalex.org/A5025209912; https://orcid.org/0000-0002-2682-9007; https://doi.org/10.1002/solr.202500538; https://ror.org/04xgh4d03; http://www.polychem.suda.edu.cn</x:v>
      </x:c>
      <x:c r="Z81" s="41" t="str">
        <x:v>email; telephone; Google Scholar; Scopus; Web of Science</x:v>
      </x:c>
      <x:c r="AA81" s="41" t="str">
        <x:v>Round-Robin Interlaboratory Comparison of Large-Area Organic Thin-Film and Perovskite Solar Cells</x:v>
      </x:c>
      <x:c r="AB81" s="41" t="str">
        <x:v>10.1002/solr.202500538</x:v>
      </x:c>
    </x:row>
    <x:row r="82">
      <x:c r="A82" s="41" t="str">
        <x:v>unsynced-hungchiehming</x:v>
      </x:c>
      <x:c r="B82" s="41" t="str">
        <x:v>Hung, Chieh-Ming</x:v>
      </x:c>
      <x:c r="C82" s="41" t="str">
        <x:v>Chieh-Ming Hung</x:v>
      </x:c>
      <x:c r="D82" s="41" t="str">
        <x:v>Hung, Chieh-Ming; Chieh-Ming Hung</x:v>
      </x:c>
      <x:c r="E82" s="41" t="str">
        <x:v>verified</x:v>
      </x:c>
      <x:c r="F82" s="41" t="str">
        <x:v>DOI-constrained OpenAlex match</x:v>
      </x:c>
      <x:c r="G82" s="42" t="str">
        <x:v>1.0</x:v>
      </x:c>
      <x:c r="H82" s="41"/>
      <x:c r="I82" s="43" t="str">
        <x:v>1</x:v>
      </x:c>
      <x:c r="J82" s="43" t="str">
        <x:v>2025</x:v>
      </x:c>
      <x:c r="K82" s="43" t="str">
        <x:v>2025</x:v>
      </x:c>
      <x:c r="L82" s="41"/>
      <x:c r="M82" s="41"/>
      <x:c r="N82" s="41" t="str">
        <x:v>Department of Chemistry Center for Emerging Materials and Advanced Devices National Taiwan University Taipei Taiwan</x:v>
      </x:c>
      <x:c r="O82" s="41"/>
      <x:c r="P82" s="41"/>
      <x:c r="Q82" s="41"/>
      <x:c r="R82" s="41" t="str">
        <x:v>https://scholar.google.com/citations?user=CRlM8csAAAAJ&amp;hl=zh-TW</x:v>
      </x:c>
      <x:c r="S82" s="41" t="str">
        <x:v>https://openalex.org/A5111140621</x:v>
      </x:c>
      <x:c r="T82" s="41"/>
      <x:c r="U82" s="41"/>
      <x:c r="V82" s="41"/>
      <x:c r="W82" s="41" t="str">
        <x:v>https://ror.org/05bqach95</x:v>
      </x:c>
      <x:c r="X82" s="41"/>
      <x:c r="Y82" s="41" t="str">
        <x:v>https://openalex.org/A5111140621; https://doi.org/10.1002/solr.202500538; https://ror.org/05bqach95</x:v>
      </x:c>
      <x:c r="Z82" s="41" t="str">
        <x:v>role; email; telephone; orcid; Scopus; Web of Science; personal website</x:v>
      </x:c>
      <x:c r="AA82" s="41" t="str">
        <x:v>Round-Robin Interlaboratory Comparison of Large-Area Organic Thin-Film and Perovskite Solar Cells</x:v>
      </x:c>
      <x:c r="AB82" s="41" t="str">
        <x:v>10.1002/solr.202500538</x:v>
      </x:c>
    </x:row>
    <x:row r="83">
      <x:c r="A83" s="41" t="str">
        <x:v>unsynced-kaoyuhsin</x:v>
      </x:c>
      <x:c r="B83" s="41" t="str">
        <x:v>Kao, Yu-Hsin</x:v>
      </x:c>
      <x:c r="C83" s="41" t="str">
        <x:v>Yu-Hsin Kao</x:v>
      </x:c>
      <x:c r="D83" s="41" t="str">
        <x:v>Kao, Yu-Hsin; Yu-Hsin Kao</x:v>
      </x:c>
      <x:c r="E83" s="41" t="str">
        <x:v>verified</x:v>
      </x:c>
      <x:c r="F83" s="41" t="str">
        <x:v>Crossref DOI author match</x:v>
      </x:c>
      <x:c r="G83" s="42" t="str">
        <x:v>1.0</x:v>
      </x:c>
      <x:c r="H83" s="41"/>
      <x:c r="I83" s="43" t="str">
        <x:v>1</x:v>
      </x:c>
      <x:c r="J83" s="43" t="str">
        <x:v>2026</x:v>
      </x:c>
      <x:c r="K83" s="43" t="str">
        <x:v>2026</x:v>
      </x:c>
      <x:c r="L83" s="41"/>
      <x:c r="M83" s="41"/>
      <x:c r="N83" s="41" t="str">
        <x:v>Department of Chemistry Chung Yuan Christian University Zhongli Taoyuan 320 Taiwan</x:v>
      </x:c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 t="str">
        <x:v>role; email; telephone; orcid; Google Scholar; OpenAlex; Scopus; Web of Science; institution page; personal website</x:v>
      </x:c>
      <x:c r="AA83" s="41" t="str">
        <x:v>Fused Dithienoheterocycle‐Based Hole‐Transporting Materials for Efficient Perovskite Solar Cells</x:v>
      </x:c>
      <x:c r="AB83" s="41" t="str">
        <x:v>10.1002/asia.70245</x:v>
      </x:c>
    </x:row>
    <x:row r="84">
      <x:c r="A84" s="41" t="str">
        <x:v>unsynced-kochungwen</x:v>
      </x:c>
      <x:c r="B84" s="41" t="str">
        <x:v>Ko, Chung-Wen</x:v>
      </x:c>
      <x:c r="C84" s="41" t="str">
        <x:v>Chung-Wen Ko</x:v>
      </x:c>
      <x:c r="D84" s="41" t="str">
        <x:v>Ko, Chung-Wen; Chung-Wen Ko</x:v>
      </x:c>
      <x:c r="E84" s="41" t="str">
        <x:v>verified</x:v>
      </x:c>
      <x:c r="F84" s="41" t="str">
        <x:v>DOI-constrained OpenAlex match</x:v>
      </x:c>
      <x:c r="G84" s="42" t="str">
        <x:v>1.0</x:v>
      </x:c>
      <x:c r="H84" s="41"/>
      <x:c r="I84" s="43" t="str">
        <x:v>1</x:v>
      </x:c>
      <x:c r="J84" s="43" t="str">
        <x:v>2025</x:v>
      </x:c>
      <x:c r="K84" s="43" t="str">
        <x:v>2025</x:v>
      </x:c>
      <x:c r="L84" s="41"/>
      <x:c r="M84" s="41"/>
      <x:c r="N84" s="41" t="str">
        <x:v>Ways Technical Corp. Ltd. Taoyuan Taiwan</x:v>
      </x:c>
      <x:c r="O84" s="41"/>
      <x:c r="P84" s="41"/>
      <x:c r="Q84" s="41"/>
      <x:c r="R84" s="41"/>
      <x:c r="S84" s="41" t="str">
        <x:v>https://openalex.org/A5113538540</x:v>
      </x:c>
      <x:c r="T84" s="41"/>
      <x:c r="U84" s="41"/>
      <x:c r="V84" s="41"/>
      <x:c r="W84" s="41" t="str">
        <x:v>https://ror.org/02pgrmd66</x:v>
      </x:c>
      <x:c r="X84" s="41"/>
      <x:c r="Y84" s="41" t="str">
        <x:v>https://openalex.org/A5113538540; https://doi.org/10.1002/solr.202500538; https://ror.org/02pgrmd66</x:v>
      </x:c>
      <x:c r="Z84" s="41" t="str">
        <x:v>role; email; telephone; orcid; Google Scholar; Scopus; Web of Science; personal website</x:v>
      </x:c>
      <x:c r="AA84" s="41" t="str">
        <x:v>Round-Robin Interlaboratory Comparison of Large-Area Organic Thin-Film and Perovskite Solar Cells</x:v>
      </x:c>
      <x:c r="AB84" s="41" t="str">
        <x:v>10.1002/solr.202500538</x:v>
      </x:c>
    </x:row>
    <x:row r="85">
      <x:c r="A85" s="41" t="str">
        <x:v>unsynced-lairuoyu</x:v>
      </x:c>
      <x:c r="B85" s="41" t="str">
        <x:v>Lai, Ruo-Yu</x:v>
      </x:c>
      <x:c r="C85" s="41" t="str">
        <x:v>Ruo-Yu Lai</x:v>
      </x:c>
      <x:c r="D85" s="41" t="str">
        <x:v>Lai, Ruo-Yu; Ruo-Yu Lai</x:v>
      </x:c>
      <x:c r="E85" s="41" t="str">
        <x:v>verified</x:v>
      </x:c>
      <x:c r="F85" s="41" t="str">
        <x:v>DOI-constrained OpenAlex match</x:v>
      </x:c>
      <x:c r="G85" s="42" t="str">
        <x:v>1.0</x:v>
      </x:c>
      <x:c r="H85" s="41"/>
      <x:c r="I85" s="43" t="str">
        <x:v>1</x:v>
      </x:c>
      <x:c r="J85" s="43" t="str">
        <x:v>2021</x:v>
      </x:c>
      <x:c r="K85" s="43" t="str">
        <x:v>2021</x:v>
      </x:c>
      <x:c r="L85" s="41"/>
      <x:c r="M85" s="41"/>
      <x:c r="N85" s="41" t="str">
        <x:v>Department of Fiber and Composite Materials, Feng Chia University, Taichung 40724, Taiwan</x:v>
      </x:c>
      <x:c r="O85" s="41"/>
      <x:c r="P85" s="41"/>
      <x:c r="Q85" s="41"/>
      <x:c r="R85" s="41"/>
      <x:c r="S85" s="41" t="str">
        <x:v>https://openalex.org/A5055638448</x:v>
      </x:c>
      <x:c r="T85" s="41"/>
      <x:c r="U85" s="41"/>
      <x:c r="V85" s="41"/>
      <x:c r="W85" s="41" t="str">
        <x:v>https://ror.org/05vhczg54</x:v>
      </x:c>
      <x:c r="X85" s="41"/>
      <x:c r="Y85" s="41" t="str">
        <x:v>https://openalex.org/A5055638448; https://doi.org/10.3390/polym13234246; https://ror.org/05vhczg54</x:v>
      </x:c>
      <x:c r="Z85" s="41" t="str">
        <x:v>role; email; telephone; orcid; Google Scholar; Scopus; Web of Science; personal website</x:v>
      </x:c>
      <x:c r="AA85" s="41" t="str">
        <x:v>Microstructure and Biological Properties of Electrospun In Situ Polymerization of Polycaprolactone-Graft-Polyacrylic Acid Nanofibers and Its Composite Nanofiber Dressings</x:v>
      </x:c>
      <x:c r="AB85" s="41" t="str">
        <x:v>10.3390/polym13234246</x:v>
      </x:c>
    </x:row>
    <x:row r="86">
      <x:c r="A86" s="41" t="str">
        <x:v>unsynced-leebochin</x:v>
      </x:c>
      <x:c r="B86" s="41" t="str">
        <x:v>Lee, Bo-Chin</x:v>
      </x:c>
      <x:c r="C86" s="41" t="str">
        <x:v>Bo-Chin Lee</x:v>
      </x:c>
      <x:c r="D86" s="41" t="str">
        <x:v>Lee, Bo-Chin; Bo-Chin Lee</x:v>
      </x:c>
      <x:c r="E86" s="41" t="str">
        <x:v>verified</x:v>
      </x:c>
      <x:c r="F86" s="41" t="str">
        <x:v>Crossref DOI author match</x:v>
      </x:c>
      <x:c r="G86" s="42" t="str">
        <x:v>1.0</x:v>
      </x:c>
      <x:c r="H86" s="41"/>
      <x:c r="I86" s="43" t="str">
        <x:v>1</x:v>
      </x:c>
      <x:c r="J86" s="43" t="str">
        <x:v>2026</x:v>
      </x:c>
      <x:c r="K86" s="43" t="str">
        <x:v>2026</x:v>
      </x:c>
      <x:c r="L86" s="41"/>
      <x:c r="M86" s="41"/>
      <x:c r="N86" s="41" t="str">
        <x:v>Department of Chemistry Chung Yuan Christian University Zhongli Taoyuan 320 Taiwan</x:v>
      </x:c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 t="str">
        <x:v>role; email; telephone; orcid; Google Scholar; OpenAlex; Scopus; Web of Science; institution page; personal website</x:v>
      </x:c>
      <x:c r="AA86" s="41" t="str">
        <x:v>Fused Dithienoheterocycle‐Based Hole‐Transporting Materials for Efficient Perovskite Solar Cells</x:v>
      </x:c>
      <x:c r="AB86" s="41" t="str">
        <x:v>10.1002/asia.70245</x:v>
      </x:c>
    </x:row>
    <x:row r="87">
      <x:c r="A87" s="41" t="str">
        <x:v>unsynced-leeleeche</x:v>
      </x:c>
      <x:c r="B87" s="41" t="str">
        <x:v>Lee, Lee-Che</x:v>
      </x:c>
      <x:c r="C87" s="41" t="str">
        <x:v>Lee-Che Lee</x:v>
      </x:c>
      <x:c r="D87" s="41" t="str">
        <x:v>Lee, Lee-Che; Lee-Che Lee</x:v>
      </x:c>
      <x:c r="E87" s="41" t="str">
        <x:v>verified</x:v>
      </x:c>
      <x:c r="F87" s="41" t="str">
        <x:v>DOI-constrained OpenAlex match</x:v>
      </x:c>
      <x:c r="G87" s="42" t="str">
        <x:v>1.0</x:v>
      </x:c>
      <x:c r="H87" s="41"/>
      <x:c r="I87" s="43" t="str">
        <x:v>1</x:v>
      </x:c>
      <x:c r="J87" s="43" t="str">
        <x:v>2023</x:v>
      </x:c>
      <x:c r="K87" s="43" t="str">
        <x:v>2023</x:v>
      </x:c>
      <x:c r="L87" s="41"/>
      <x:c r="M87" s="41"/>
      <x:c r="N87" s="41" t="str">
        <x:v>Chang Gung University of Science and Technology; Chang Gung University; Chang Gung Memorial Hospital</x:v>
      </x:c>
      <x:c r="O87" s="41"/>
      <x:c r="P87" s="41"/>
      <x:c r="Q87" s="41"/>
      <x:c r="R87" s="41"/>
      <x:c r="S87" s="41" t="str">
        <x:v>https://openalex.org/A5092280508</x:v>
      </x:c>
      <x:c r="T87" s="41"/>
      <x:c r="U87" s="41"/>
      <x:c r="V87" s="41"/>
      <x:c r="W87" s="41" t="str">
        <x:v>https://ror.org/009knm296</x:v>
      </x:c>
      <x:c r="X87" s="41"/>
      <x:c r="Y87" s="41" t="str">
        <x:v>https://openalex.org/A5092280508; https://doi.org/10.1016/j.jpowsour.2023.233496; https://ror.org/009knm296</x:v>
      </x:c>
      <x:c r="Z87" s="41" t="str">
        <x:v>role; email; telephone; orcid; Google Scholar; Scopus; Web of Science; personal website</x:v>
      </x:c>
      <x:c r="AA87" s="41" t="str">
        <x:v>Ladder-type dihydronaphtho [1, 2, 3, 4-rst] pentaphene as building block to construct hole-transporting materials for perovskite solar cells</x:v>
      </x:c>
      <x:c r="AB87" s="41" t="str">
        <x:v>10.1016/j.jpowsour.2023.233496</x:v>
      </x:c>
    </x:row>
    <x:row r="88">
      <x:c r="A88" s="41" t="str">
        <x:v>unsynced-leemandymeiling</x:v>
      </x:c>
      <x:c r="B88" s="41" t="str">
        <x:v>Lee, Mandy Mei-Ling</x:v>
      </x:c>
      <x:c r="C88" s="41" t="str">
        <x:v>Mandy Mei-Ling Lee</x:v>
      </x:c>
      <x:c r="D88" s="41" t="str">
        <x:v>Lee, Mandy Mei-Ling; Mandy Mei-Ling Lee; Lee, Mandy M.; Mandy M. Lee</x:v>
      </x:c>
      <x:c r="E88" s="41" t="str">
        <x:v>verified</x:v>
      </x:c>
      <x:c r="F88" s="41" t="str">
        <x:v>DOI-constrained OpenAlex match</x:v>
      </x:c>
      <x:c r="G88" s="42" t="str">
        <x:v>0.96</x:v>
      </x:c>
      <x:c r="H88" s="41"/>
      <x:c r="I88" s="43" t="str">
        <x:v>1</x:v>
      </x:c>
      <x:c r="J88" s="43" t="str">
        <x:v>2025</x:v>
      </x:c>
      <x:c r="K88" s="43" t="str">
        <x:v>2025</x:v>
      </x:c>
      <x:c r="L88" s="41"/>
      <x:c r="M88" s="41"/>
      <x:c r="N88" s="41" t="str">
        <x:v>Institute of Chemistry Academia Sinica Taipei 115024 Taiwan</x:v>
      </x:c>
      <x:c r="O88" s="41"/>
      <x:c r="P88" s="41"/>
      <x:c r="Q88" s="41"/>
      <x:c r="R88" s="41"/>
      <x:c r="S88" s="41" t="str">
        <x:v>https://openalex.org/A5031589756</x:v>
      </x:c>
      <x:c r="T88" s="41"/>
      <x:c r="U88" s="41"/>
      <x:c r="V88" s="41"/>
      <x:c r="W88" s="41" t="str">
        <x:v>https://ror.org/04xjjma71</x:v>
      </x:c>
      <x:c r="X88" s="41"/>
      <x:c r="Y88" s="41" t="str">
        <x:v>https://openalex.org/A5031589756; https://doi.org/10.1002/advs.202410666; https://ror.org/04xjjma71</x:v>
      </x:c>
      <x:c r="Z88" s="41" t="str">
        <x:v>role; email; telephone; orcid; Google Scholar; Scopus; Web of Science; personal website</x:v>
      </x:c>
      <x:c r="AA88" s="41" t="str">
        <x:v>Judicious Molecular Design of 5H‑Dithieno[3,2‑b:2′,3′‑d]Pyran-based Hole-Transporting Materials for Highly Efficient and Stable Perovskite Solar Cells</x:v>
      </x:c>
      <x:c r="AB88" s="41" t="str">
        <x:v>10.1002/advs.202410666</x:v>
      </x:c>
    </x:row>
    <x:row r="89">
      <x:c r="A89" s="41" t="str">
        <x:v>unsynced-leemingway</x:v>
      </x:c>
      <x:c r="B89" s="41" t="str">
        <x:v>Lee, Ming-Way</x:v>
      </x:c>
      <x:c r="C89" s="41" t="str">
        <x:v>Ming-Way Lee</x:v>
      </x:c>
      <x:c r="D89" s="41" t="str">
        <x:v>Lee, Ming-Way; Ming-Way Lee</x:v>
      </x:c>
      <x:c r="E89" s="41" t="str">
        <x:v>verified</x:v>
      </x:c>
      <x:c r="F89" s="41" t="str">
        <x:v>ORCID + DOI-constrained OpenAlex match</x:v>
      </x:c>
      <x:c r="G89" s="42" t="str">
        <x:v>1.0</x:v>
      </x:c>
      <x:c r="H89" s="41"/>
      <x:c r="I89" s="43" t="str">
        <x:v>1</x:v>
      </x:c>
      <x:c r="J89" s="43" t="str">
        <x:v>2025</x:v>
      </x:c>
      <x:c r="K89" s="43" t="str">
        <x:v>2025</x:v>
      </x:c>
      <x:c r="L89" s="41" t="str">
        <x:v>prof.</x:v>
      </x:c>
      <x:c r="M89" s="41" t="str">
        <x:v>prof.</x:v>
      </x:c>
      <x:c r="N89" s="41" t="str">
        <x:v>Physics, National Chung Hsing University</x:v>
      </x:c>
      <x:c r="O89" s="41"/>
      <x:c r="P89" s="41"/>
      <x:c r="Q89" s="41" t="str">
        <x:v>0000-0002-8343-9179</x:v>
      </x:c>
      <x:c r="R89" s="41"/>
      <x:c r="S89" s="41" t="str">
        <x:v>https://openalex.org/A5044725298</x:v>
      </x:c>
      <x:c r="T89" s="41"/>
      <x:c r="U89" s="41"/>
      <x:c r="V89" s="41"/>
      <x:c r="W89" s="41" t="str">
        <x:v>https://ror.org/05vn3ca78</x:v>
      </x:c>
      <x:c r="X89" s="41"/>
      <x:c r="Y89" s="41" t="str">
        <x:v>https://openalex.org/A5044725298; https://orcid.org/0000-0002-8343-9179; https://doi.org/10.1002/solr.202500538; https://ror.org/05vn3ca78</x:v>
      </x:c>
      <x:c r="Z89" s="41" t="str">
        <x:v>email; telephone; Google Scholar; Scopus; Web of Science; personal website</x:v>
      </x:c>
      <x:c r="AA89" s="41" t="str">
        <x:v>Round-Robin Interlaboratory Comparison of Large-Area Organic Thin-Film and Perovskite Solar Cells</x:v>
      </x:c>
      <x:c r="AB89" s="41" t="str">
        <x:v>10.1002/solr.202500538</x:v>
      </x:c>
    </x:row>
    <x:row r="90">
      <x:c r="A90" s="41" t="str">
        <x:v>unsynced-leeyuxian</x:v>
      </x:c>
      <x:c r="B90" s="41" t="str">
        <x:v>Lee, Yu-Xian</x:v>
      </x:c>
      <x:c r="C90" s="41" t="str">
        <x:v>Yu-Xian Lee</x:v>
      </x:c>
      <x:c r="D90" s="41" t="str">
        <x:v>Lee, Yu-Xian; Yu-Xian Lee</x:v>
      </x:c>
      <x:c r="E90" s="41" t="str">
        <x:v>verified</x:v>
      </x:c>
      <x:c r="F90" s="41" t="str">
        <x:v>Crossref DOI author match</x:v>
      </x:c>
      <x:c r="G90" s="42" t="str">
        <x:v>1.0</x:v>
      </x:c>
      <x:c r="H90" s="41"/>
      <x:c r="I90" s="43" t="str">
        <x:v>1</x:v>
      </x:c>
      <x:c r="J90" s="43" t="str">
        <x:v>2026</x:v>
      </x:c>
      <x:c r="K90" s="43" t="str">
        <x:v>2026</x:v>
      </x:c>
      <x:c r="L90" s="41"/>
      <x:c r="M90" s="41"/>
      <x:c r="N90" s="41" t="str">
        <x:v>Ming Chi University of Technology; Chang Gung University; Chang Gung Memorial Hospital</x:v>
      </x:c>
      <x:c r="O90" s="41"/>
      <x:c r="P90" s="41"/>
      <x:c r="Q90" s="41"/>
      <x:c r="R90" s="41"/>
      <x:c r="S90" s="41"/>
      <x:c r="T90" s="41"/>
      <x:c r="U90" s="41"/>
      <x:c r="V90" s="41"/>
      <x:c r="W90" s="41" t="str">
        <x:v>https://ror.org/04xgh4d03</x:v>
      </x:c>
      <x:c r="X90" s="41"/>
      <x:c r="Y90" s="41" t="str">
        <x:v>https://doi.org/10.1016/j.jpowsour.2025.239216; https://ror.org/04xgh4d03</x:v>
      </x:c>
      <x:c r="Z90" s="41" t="str">
        <x:v>role; email; telephone; orcid; Google Scholar; OpenAlex; Scopus; Web of Science; personal website</x:v>
      </x:c>
      <x:c r="AA90" s="41" t="str">
        <x:v>Heterogeneous graphite felt electrodes decorated with nanostructured graphitic carbon nitride for enhanced redox kinetics in vanadium redox flow batteries</x:v>
      </x:c>
      <x:c r="AB90" s="41" t="str">
        <x:v>10.1016/j.jpowsour.2025.239216</x:v>
      </x:c>
    </x:row>
    <x:row r="91">
      <x:c r="A91" s="41" t="str">
        <x:v>unsynced-lichunting</x:v>
      </x:c>
      <x:c r="B91" s="41" t="str">
        <x:v>Li, Chun-Ting</x:v>
      </x:c>
      <x:c r="C91" s="41" t="str">
        <x:v>Chun-Ting Li</x:v>
      </x:c>
      <x:c r="D91" s="41" t="str">
        <x:v>Li, Chun-Ting; Chun-Ting Li</x:v>
      </x:c>
      <x:c r="E91" s="41" t="str">
        <x:v>verified</x:v>
      </x:c>
      <x:c r="F91" s="41" t="str">
        <x:v>ORCID + DOI-constrained OpenAlex match</x:v>
      </x:c>
      <x:c r="G91" s="42" t="str">
        <x:v>1.0</x:v>
      </x:c>
      <x:c r="H91" s="41"/>
      <x:c r="I91" s="43" t="str">
        <x:v>1</x:v>
      </x:c>
      <x:c r="J91" s="43" t="str">
        <x:v>2025</x:v>
      </x:c>
      <x:c r="K91" s="43" t="str">
        <x:v>2025</x:v>
      </x:c>
      <x:c r="L91" s="41" t="str">
        <x:v>Assistant Professor</x:v>
      </x:c>
      <x:c r="M91" s="41" t="str">
        <x:v>Assistant Professor</x:v>
      </x:c>
      <x:c r="N91" s="41" t="str">
        <x:v>Chemistry, National Taiwan Normal University</x:v>
      </x:c>
      <x:c r="O91" s="41"/>
      <x:c r="P91" s="41"/>
      <x:c r="Q91" s="41" t="str">
        <x:v>0000-0002-4848-7335</x:v>
      </x:c>
      <x:c r="R91" s="41"/>
      <x:c r="S91" s="41" t="str">
        <x:v>https://openalex.org/A5016967438</x:v>
      </x:c>
      <x:c r="T91" s="41"/>
      <x:c r="U91" s="41"/>
      <x:c r="V91" s="41"/>
      <x:c r="W91" s="41" t="str">
        <x:v>https://ror.org/00xyeez13</x:v>
      </x:c>
      <x:c r="X91" s="41"/>
      <x:c r="Y91" s="41" t="str">
        <x:v>https://openalex.org/A5016967438; https://orcid.org/0000-0002-4848-7335; https://doi.org/10.1002/solr.202500538; https://ror.org/00xyeez13</x:v>
      </x:c>
      <x:c r="Z91" s="41" t="str">
        <x:v>email; telephone; Google Scholar; Scopus; Web of Science; personal website</x:v>
      </x:c>
      <x:c r="AA91" s="41" t="str">
        <x:v>Round-Robin Interlaboratory Comparison of Large-Area Organic Thin-Film and Perovskite Solar Cells</x:v>
      </x:c>
      <x:c r="AB91" s="41" t="str">
        <x:v>10.1002/solr.202500538</x:v>
      </x:c>
    </x:row>
    <x:row r="92">
      <x:c r="A92" s="41" t="str">
        <x:v>unsynced-lijiazhen</x:v>
      </x:c>
      <x:c r="B92" s="41" t="str">
        <x:v>Li, Jia-Zhen</x:v>
      </x:c>
      <x:c r="C92" s="41" t="str">
        <x:v>Jia-Zhen Li</x:v>
      </x:c>
      <x:c r="D92" s="41" t="str">
        <x:v>Li, Jia-Zhen; Jia-Zhen Li</x:v>
      </x:c>
      <x:c r="E92" s="41" t="str">
        <x:v>verified</x:v>
      </x:c>
      <x:c r="F92" s="41" t="str">
        <x:v>ORCID + DOI-constrained OpenAlex match</x:v>
      </x:c>
      <x:c r="G92" s="42" t="str">
        <x:v>1.0</x:v>
      </x:c>
      <x:c r="H92" s="41"/>
      <x:c r="I92" s="43" t="str">
        <x:v>1</x:v>
      </x:c>
      <x:c r="J92" s="43" t="str">
        <x:v>2025</x:v>
      </x:c>
      <x:c r="K92" s="43" t="str">
        <x:v>2025</x:v>
      </x:c>
      <x:c r="L92" s="41"/>
      <x:c r="M92" s="41"/>
      <x:c r="N92" s="41" t="str">
        <x:v>Department of Orthopaedic Surgery, Zhengzhou University First Affiliated Hospital</x:v>
      </x:c>
      <x:c r="O92" s="41"/>
      <x:c r="P92" s="41"/>
      <x:c r="Q92" s="41" t="str">
        <x:v>0000-0002-6416-4296</x:v>
      </x:c>
      <x:c r="R92" s="41"/>
      <x:c r="S92" s="41" t="str">
        <x:v>https://openalex.org/A5101405348</x:v>
      </x:c>
      <x:c r="T92" s="41"/>
      <x:c r="U92" s="41" t="str">
        <x:v>https://www.scopus.com/authid/detail.uri?authorId=23493072100</x:v>
      </x:c>
      <x:c r="V92" s="41"/>
      <x:c r="W92" s="41" t="str">
        <x:v>https://ror.org/0152hn881</x:v>
      </x:c>
      <x:c r="X92" s="41"/>
      <x:c r="Y92" s="41" t="str">
        <x:v>https://openalex.org/A5101405348; https://orcid.org/0000-0002-6416-4296; https://doi.org/10.1002/solr.202500538; https://ror.org/0152hn881</x:v>
      </x:c>
      <x:c r="Z92" s="41" t="str">
        <x:v>role; email; telephone; Google Scholar; Web of Science; personal website</x:v>
      </x:c>
      <x:c r="AA92" s="41" t="str">
        <x:v>Round-Robin Interlaboratory Comparison of Large-Area Organic Thin-Film and Perovskite Solar Cells</x:v>
      </x:c>
      <x:c r="AB92" s="41" t="str">
        <x:v>10.1002/solr.202500538</x:v>
      </x:c>
    </x:row>
    <x:row r="93">
      <x:c r="A93" s="41" t="str">
        <x:v>unsynced-lilin</x:v>
      </x:c>
      <x:c r="B93" s="41" t="str">
        <x:v>Li, Lin</x:v>
      </x:c>
      <x:c r="C93" s="41" t="str">
        <x:v>Lin Li</x:v>
      </x:c>
      <x:c r="D93" s="41" t="str">
        <x:v>Li, Lin; Lin Li; L Li; Li, L.</x:v>
      </x:c>
      <x:c r="E93" s="41" t="str">
        <x:v>verified</x:v>
      </x:c>
      <x:c r="F93" s="41" t="str">
        <x:v>ORCID + DOI-constrained OpenAlex match</x:v>
      </x:c>
      <x:c r="G93" s="42" t="str">
        <x:v>1.0</x:v>
      </x:c>
      <x:c r="H93" s="41"/>
      <x:c r="I93" s="43" t="str">
        <x:v>1</x:v>
      </x:c>
      <x:c r="J93" s="43" t="str">
        <x:v>2023</x:v>
      </x:c>
      <x:c r="K93" s="43" t="str">
        <x:v>2023</x:v>
      </x:c>
      <x:c r="L93" s="41" t="str">
        <x:v>Associate Professor</x:v>
      </x:c>
      <x:c r="M93" s="41" t="str">
        <x:v>Associate Professor</x:v>
      </x:c>
      <x:c r="N93" s="41" t="str">
        <x:v>School of Highway, Chang'an University</x:v>
      </x:c>
      <x:c r="O93" s="41"/>
      <x:c r="P93" s="41"/>
      <x:c r="Q93" s="41" t="str">
        <x:v>0000-0002-8014-8296</x:v>
      </x:c>
      <x:c r="R93" s="41"/>
      <x:c r="S93" s="41" t="str">
        <x:v>https://openalex.org/A5100412901</x:v>
      </x:c>
      <x:c r="T93" s="41"/>
      <x:c r="U93" s="41" t="str">
        <x:v>https://www.scopus.com/authid/detail.uri?authorId=56202671400</x:v>
      </x:c>
      <x:c r="V93" s="41"/>
      <x:c r="W93" s="41" t="str">
        <x:v>https://ror.org/03xjacd83</x:v>
      </x:c>
      <x:c r="X93" s="41"/>
      <x:c r="Y93" s="41" t="str">
        <x:v>https://openalex.org/A5100412901; https://orcid.org/0000-0002-8014-8296; https://doi.org/10.1002/asia.202300681; https://ror.org/03xjacd83</x:v>
      </x:c>
      <x:c r="Z93" s="41" t="str">
        <x:v>email; telephone; Google Scholar; Web of Science; personal website</x:v>
      </x:c>
      <x:c r="AA93" s="41" t="str">
        <x:v>New Molecular Design, Step‐Saving Synthesis, and Applications of Indolocarbazole Core‐Based Oligo (hetero) arenes</x:v>
      </x:c>
      <x:c r="AB93" s="41" t="str">
        <x:v>10.1002/asia.202300681</x:v>
      </x:c>
    </x:row>
    <x:row r="94">
      <x:c r="A94" s="41" t="str">
        <x:v>unsynced-liyusheng</x:v>
      </x:c>
      <x:c r="B94" s="41" t="str">
        <x:v>Li, Yu-Sheng</x:v>
      </x:c>
      <x:c r="C94" s="41" t="str">
        <x:v>Yu-Sheng Li</x:v>
      </x:c>
      <x:c r="D94" s="41" t="str">
        <x:v>Li, Yu-Sheng; Yu-Sheng Li; Y S Li</x:v>
      </x:c>
      <x:c r="E94" s="41" t="str">
        <x:v>verified</x:v>
      </x:c>
      <x:c r="F94" s="41" t="str">
        <x:v>ORCID + DOI-constrained OpenAlex match</x:v>
      </x:c>
      <x:c r="G94" s="42" t="str">
        <x:v>1.0</x:v>
      </x:c>
      <x:c r="H94" s="41"/>
      <x:c r="I94" s="43" t="str">
        <x:v>1</x:v>
      </x:c>
      <x:c r="J94" s="43" t="str">
        <x:v>2025</x:v>
      </x:c>
      <x:c r="K94" s="43" t="str">
        <x:v>2025</x:v>
      </x:c>
      <x:c r="L94" s="41" t="str">
        <x:v>Attending Doctor</x:v>
      </x:c>
      <x:c r="M94" s="41" t="str">
        <x:v>Attending Doctor</x:v>
      </x:c>
      <x:c r="N94" s="41" t="str">
        <x:v>Orthopedics, Central South University</x:v>
      </x:c>
      <x:c r="O94" s="41"/>
      <x:c r="P94" s="41"/>
      <x:c r="Q94" s="41" t="str">
        <x:v>0000-0002-3404-0807</x:v>
      </x:c>
      <x:c r="R94" s="41"/>
      <x:c r="S94" s="41" t="str">
        <x:v>https://openalex.org/A5100614169</x:v>
      </x:c>
      <x:c r="T94" s="41"/>
      <x:c r="U94" s="41"/>
      <x:c r="V94" s="41"/>
      <x:c r="W94" s="41" t="str">
        <x:v>https://ror.org/00f1zfq44</x:v>
      </x:c>
      <x:c r="X94" s="41"/>
      <x:c r="Y94" s="41" t="str">
        <x:v>https://openalex.org/A5100614169; https://orcid.org/0000-0002-3404-0807; https://doi.org/10.1002/solr.202500538; https://ror.org/00f1zfq44</x:v>
      </x:c>
      <x:c r="Z94" s="41" t="str">
        <x:v>email; telephone; Google Scholar; Scopus; Web of Science; personal website</x:v>
      </x:c>
      <x:c r="AA94" s="41" t="str">
        <x:v>Round-Robin Interlaboratory Comparison of Large-Area Organic Thin-Film and Perovskite Solar Cells</x:v>
      </x:c>
      <x:c r="AB94" s="41" t="str">
        <x:v>10.1002/solr.202500538</x:v>
      </x:c>
    </x:row>
    <x:row r="95">
      <x:c r="A95" s="41" t="str">
        <x:v>unsynced-liaojianming</x:v>
      </x:c>
      <x:c r="B95" s="41" t="str">
        <x:v>Liao, Jian-Ming</x:v>
      </x:c>
      <x:c r="C95" s="41" t="str">
        <x:v>Jian-Ming Liao</x:v>
      </x:c>
      <x:c r="D95" s="41" t="str">
        <x:v>Liao, Jian-Ming; Jian-Ming Liao</x:v>
      </x:c>
      <x:c r="E95" s="41" t="str">
        <x:v>verified</x:v>
      </x:c>
      <x:c r="F95" s="41" t="str">
        <x:v>ORCID + DOI-constrained OpenAlex match</x:v>
      </x:c>
      <x:c r="G95" s="42" t="str">
        <x:v>1.0</x:v>
      </x:c>
      <x:c r="H95" s="41"/>
      <x:c r="I95" s="43" t="str">
        <x:v>1</x:v>
      </x:c>
      <x:c r="J95" s="43" t="str">
        <x:v>2022</x:v>
      </x:c>
      <x:c r="K95" s="43" t="str">
        <x:v>2022</x:v>
      </x:c>
      <x:c r="L95" s="41"/>
      <x:c r="M95" s="41"/>
      <x:c r="N95" s="41" t="str">
        <x:v>Department of Applied Chemistry, Providence University, Taichung 433, Taiwan</x:v>
      </x:c>
      <x:c r="O95" s="41"/>
      <x:c r="P95" s="41"/>
      <x:c r="Q95" s="41" t="str">
        <x:v>0000-0002-5527-1962</x:v>
      </x:c>
      <x:c r="R95" s="41"/>
      <x:c r="S95" s="41" t="str">
        <x:v>https://openalex.org/A5014654794</x:v>
      </x:c>
      <x:c r="T95" s="41"/>
      <x:c r="U95" s="41"/>
      <x:c r="V95" s="41"/>
      <x:c r="W95" s="41" t="str">
        <x:v>https://ror.org/03fcpsq87</x:v>
      </x:c>
      <x:c r="X95" s="41"/>
      <x:c r="Y95" s="41" t="str">
        <x:v>https://openalex.org/A5014654794; https://orcid.org/0000-0002-5527-1962; https://doi.org/10.3390/polym14081580; https://ror.org/03fcpsq87</x:v>
      </x:c>
      <x:c r="Z95" s="41" t="str">
        <x:v>role; email; telephone; Google Scholar; Scopus; Web of Science; personal website</x:v>
      </x:c>
      <x:c r="AA95" s="41" t="str">
        <x:v>Effect of Thiophene Insertion on X-Shaped Anthracene-Based Hole-Transporting Materials in Perovskite Solar Cells</x:v>
      </x:c>
      <x:c r="AB95" s="41" t="str">
        <x:v>10.3390/polym14081580</x:v>
      </x:c>
    </x:row>
    <x:row r="96">
      <x:c r="A96" s="41" t="str">
        <x:v>unsynced-liaoshihchieh</x:v>
      </x:c>
      <x:c r="B96" s="41" t="str">
        <x:v>Liao, Shih-Chieh</x:v>
      </x:c>
      <x:c r="C96" s="41" t="str">
        <x:v>Shih-Chieh Liao</x:v>
      </x:c>
      <x:c r="D96" s="41" t="str">
        <x:v>Liao, Shih-Chieh; Shih-Chieh Liao</x:v>
      </x:c>
      <x:c r="E96" s="41" t="str">
        <x:v>verified</x:v>
      </x:c>
      <x:c r="F96" s="41" t="str">
        <x:v>DOI-constrained OpenAlex match</x:v>
      </x:c>
      <x:c r="G96" s="42" t="str">
        <x:v>1.0</x:v>
      </x:c>
      <x:c r="H96" s="41"/>
      <x:c r="I96" s="43" t="str">
        <x:v>1</x:v>
      </x:c>
      <x:c r="J96" s="43" t="str">
        <x:v>2009</x:v>
      </x:c>
      <x:c r="K96" s="43" t="str">
        <x:v>2009</x:v>
      </x:c>
      <x:c r="L96" s="41"/>
      <x:c r="M96" s="41"/>
      <x:c r="N96" s="41" t="str">
        <x:v>China Medical University</x:v>
      </x:c>
      <x:c r="O96" s="41"/>
      <x:c r="P96" s="41"/>
      <x:c r="Q96" s="41"/>
      <x:c r="R96" s="41"/>
      <x:c r="S96" s="41" t="str">
        <x:v>https://openalex.org/A5102121934</x:v>
      </x:c>
      <x:c r="T96" s="41"/>
      <x:c r="U96" s="41"/>
      <x:c r="V96" s="41"/>
      <x:c r="W96" s="41" t="str">
        <x:v>https://ror.org/00v408z34</x:v>
      </x:c>
      <x:c r="X96" s="41"/>
      <x:c r="Y96" s="41" t="str">
        <x:v>https://openalex.org/A5102121934; https://doi.org/10.1039/b902595m; https://ror.org/00v408z34</x:v>
      </x:c>
      <x:c r="Z96" s="41" t="str">
        <x:v>role; email; telephone; orcid; Google Scholar; Scopus; Web of Science; personal website</x:v>
      </x:c>
      <x:c r="AA96" s="41" t="str">
        <x:v>Efficient electron transport in tetrapod-like ZnO metal-free dye-sensitized solar cells</x:v>
      </x:c>
      <x:c r="AB96" s="41" t="str">
        <x:v>10.1039/B902595M</x:v>
      </x:c>
    </x:row>
    <x:row r="97">
      <x:c r="A97" s="41" t="str">
        <x:v>unsynced-liaoyihong</x:v>
      </x:c>
      <x:c r="B97" s="41" t="str">
        <x:v>Liao, Yi-Hong</x:v>
      </x:c>
      <x:c r="C97" s="41" t="str">
        <x:v>Yi-Hong Liao</x:v>
      </x:c>
      <x:c r="D97" s="41" t="str">
        <x:v>Liao, Yi-Hong; Yi-Hong Liao</x:v>
      </x:c>
      <x:c r="E97" s="41" t="str">
        <x:v>verified</x:v>
      </x:c>
      <x:c r="F97" s="41" t="str">
        <x:v>Crossref DOI author match</x:v>
      </x:c>
      <x:c r="G97" s="42" t="str">
        <x:v>1.0</x:v>
      </x:c>
      <x:c r="H97" s="41"/>
      <x:c r="I97" s="43" t="str">
        <x:v>1</x:v>
      </x:c>
      <x:c r="J97" s="43" t="str">
        <x:v>2025</x:v>
      </x:c>
      <x:c r="K97" s="43" t="str">
        <x:v>2025</x:v>
      </x:c>
      <x:c r="L97" s="41"/>
      <x:c r="M97" s="41"/>
      <x:c r="N97" s="41" t="str">
        <x:v>Department of Materials Science and Engineering National Tsing Hua University Hsinchu Taiwan</x:v>
      </x:c>
      <x:c r="O97" s="41"/>
      <x:c r="P97" s="41"/>
      <x:c r="Q97" s="41"/>
      <x:c r="R97" s="41"/>
      <x:c r="S97" s="41"/>
      <x:c r="T97" s="41"/>
      <x:c r="U97" s="41"/>
      <x:c r="V97" s="41"/>
      <x:c r="W97" s="41" t="str">
        <x:v>https://ror.org/00zdnkx70</x:v>
      </x:c>
      <x:c r="X97" s="41"/>
      <x:c r="Y97" s="41" t="str">
        <x:v>https://doi.org/10.1002/solr.202500538; https://ror.org/00zdnkx70</x:v>
      </x:c>
      <x:c r="Z97" s="41" t="str">
        <x:v>role; email; telephone; orcid; Google Scholar; OpenAlex; Scopus; Web of Science; personal website</x:v>
      </x:c>
      <x:c r="AA97" s="41" t="str">
        <x:v>Round-Robin Interlaboratory Comparison of Large-Area Organic Thin-Film and Perovskite Solar Cells</x:v>
      </x:c>
      <x:c r="AB97" s="41" t="str">
        <x:v>10.1002/solr.202500538</x:v>
      </x:c>
    </x:row>
    <x:row r="98">
      <x:c r="A98" s="41" t="str">
        <x:v>unsynced-liaoziting</x:v>
      </x:c>
      <x:c r="B98" s="41" t="str">
        <x:v>Liao, Zi-Ting</x:v>
      </x:c>
      <x:c r="C98" s="41" t="str">
        <x:v>Zi-Ting Liao</x:v>
      </x:c>
      <x:c r="D98" s="41" t="str">
        <x:v>Liao, Zi-Ting; Zi-Ting Liao</x:v>
      </x:c>
      <x:c r="E98" s="41" t="str">
        <x:v>verified</x:v>
      </x:c>
      <x:c r="F98" s="41" t="str">
        <x:v>DOI-constrained OpenAlex match</x:v>
      </x:c>
      <x:c r="G98" s="42" t="str">
        <x:v>1.0</x:v>
      </x:c>
      <x:c r="H98" s="41"/>
      <x:c r="I98" s="43" t="str">
        <x:v>1</x:v>
      </x:c>
      <x:c r="J98" s="43" t="str">
        <x:v>2025</x:v>
      </x:c>
      <x:c r="K98" s="43" t="str">
        <x:v>2025</x:v>
      </x:c>
      <x:c r="L98" s="41"/>
      <x:c r="M98" s="41"/>
      <x:c r="N98" s="41" t="str">
        <x:v>Department of Chemical Engineering National Taiwan University of Science and Technology Taipei Taiwan</x:v>
      </x:c>
      <x:c r="O98" s="41"/>
      <x:c r="P98" s="41"/>
      <x:c r="Q98" s="41"/>
      <x:c r="R98" s="41"/>
      <x:c r="S98" s="41" t="str">
        <x:v>https://openalex.org/A5109623775</x:v>
      </x:c>
      <x:c r="T98" s="41"/>
      <x:c r="U98" s="41"/>
      <x:c r="V98" s="41"/>
      <x:c r="W98" s="41" t="str">
        <x:v>https://ror.org/00q09pe49</x:v>
      </x:c>
      <x:c r="X98" s="41"/>
      <x:c r="Y98" s="41" t="str">
        <x:v>https://openalex.org/A5109623775; https://doi.org/10.1002/solr.202500538; https://ror.org/00q09pe49</x:v>
      </x:c>
      <x:c r="Z98" s="41" t="str">
        <x:v>role; email; telephone; orcid; Google Scholar; Scopus; Web of Science; personal website</x:v>
      </x:c>
      <x:c r="AA98" s="41" t="str">
        <x:v>Round-Robin Interlaboratory Comparison of Large-Area Organic Thin-Film and Perovskite Solar Cells</x:v>
      </x:c>
      <x:c r="AB98" s="41" t="str">
        <x:v>10.1002/solr.202500538</x:v>
      </x:c>
    </x:row>
    <x:row r="99">
      <x:c r="A99" s="41" t="str">
        <x:v>unsynced-linfangju</x:v>
      </x:c>
      <x:c r="B99" s="41" t="str">
        <x:v>Lin, Fang-Ju</x:v>
      </x:c>
      <x:c r="C99" s="41" t="str">
        <x:v>Fang-Ju Lin</x:v>
      </x:c>
      <x:c r="D99" s="41" t="str">
        <x:v>Lin, Fang-Ju; Fang-Ju Lin; F J Lin</x:v>
      </x:c>
      <x:c r="E99" s="41" t="str">
        <x:v>verified</x:v>
      </x:c>
      <x:c r="F99" s="41" t="str">
        <x:v>ORCID + DOI-constrained OpenAlex match</x:v>
      </x:c>
      <x:c r="G99" s="42" t="str">
        <x:v>1.0</x:v>
      </x:c>
      <x:c r="H99" s="41"/>
      <x:c r="I99" s="43" t="str">
        <x:v>1</x:v>
      </x:c>
      <x:c r="J99" s="43" t="str">
        <x:v>2023</x:v>
      </x:c>
      <x:c r="K99" s="43" t="str">
        <x:v>2023</x:v>
      </x:c>
      <x:c r="L99" s="41" t="str">
        <x:v>Pediatritian</x:v>
      </x:c>
      <x:c r="M99" s="41" t="str">
        <x:v>Pediatritian</x:v>
      </x:c>
      <x:c r="N99" s="41" t="str">
        <x:v>Pediatric infectious disease, Kaohsiung Chang Gung Memorial Hospital</x:v>
      </x:c>
      <x:c r="O99" s="41"/>
      <x:c r="P99" s="41"/>
      <x:c r="Q99" s="41" t="str">
        <x:v>0000-0003-1038-0871</x:v>
      </x:c>
      <x:c r="R99" s="41" t="str">
        <x:v>https://scholar.google.com/citations?user=K3lxle8AAAAJ&amp;hl=zh-TW</x:v>
      </x:c>
      <x:c r="S99" s="41" t="str">
        <x:v>https://openalex.org/A5101562056</x:v>
      </x:c>
      <x:c r="T99" s="41"/>
      <x:c r="U99" s="41" t="str">
        <x:v>https://www.scopus.com/authid/detail.uri?authorId=57224767733</x:v>
      </x:c>
      <x:c r="V99" s="41"/>
      <x:c r="W99" s="41" t="str">
        <x:v>https://ror.org/00k194y12</x:v>
      </x:c>
      <x:c r="X99" s="41"/>
      <x:c r="Y99" s="41" t="str">
        <x:v>https://openalex.org/A5101562056; https://orcid.org/0000-0003-1038-0871; https://doi.org/10.1002/adfm.202306367; https://ror.org/00k194y12</x:v>
      </x:c>
      <x:c r="Z99" s="41" t="str">
        <x:v>email; telephone; Web of Science; personal website</x:v>
      </x:c>
      <x:c r="AA99" s="41" t="str">
        <x:v>Fluorinated Pentafulvalene‐Fused Hole‐Transporting Material Enhances the Performance of Perovskite Solar Cells with Efficiency Exceeding 23%</x:v>
      </x:c>
      <x:c r="AB99" s="41" t="str">
        <x:v>10.1002/adfm.202306367</x:v>
      </x:c>
    </x:row>
    <x:row r="100">
      <x:c r="A100" s="41" t="str">
        <x:v>unsynced-linhuichieh</x:v>
      </x:c>
      <x:c r="B100" s="41" t="str">
        <x:v>Lin, Hui-Chieh</x:v>
      </x:c>
      <x:c r="C100" s="41" t="str">
        <x:v>Hui-Chieh Lin</x:v>
      </x:c>
      <x:c r="D100" s="41" t="str">
        <x:v>Lin, Hui-Chieh; Hui-Chieh Lin</x:v>
      </x:c>
      <x:c r="E100" s="41" t="str">
        <x:v>verified</x:v>
      </x:c>
      <x:c r="F100" s="41" t="str">
        <x:v>Crossref DOI author match</x:v>
      </x:c>
      <x:c r="G100" s="42" t="str">
        <x:v>1.0</x:v>
      </x:c>
      <x:c r="H100" s="41"/>
      <x:c r="I100" s="43" t="str">
        <x:v>1</x:v>
      </x:c>
      <x:c r="J100" s="43" t="str">
        <x:v>2025</x:v>
      </x:c>
      <x:c r="K100" s="43" t="str">
        <x:v>2025</x:v>
      </x:c>
      <x:c r="L100" s="41"/>
      <x:c r="M100" s="41"/>
      <x:c r="N100" s="41" t="str">
        <x:v>Organic Electronics Research Center Ming Chi University of Technology New Taipei City Taiwan</x:v>
      </x:c>
      <x:c r="O100" s="41"/>
      <x:c r="P100" s="41"/>
      <x:c r="Q100" s="41"/>
      <x:c r="R100" s="41"/>
      <x:c r="S100" s="41"/>
      <x:c r="T100" s="41"/>
      <x:c r="U100" s="41"/>
      <x:c r="V100" s="41"/>
      <x:c r="W100" s="41" t="str">
        <x:v>https://ror.org/04xgh4d03</x:v>
      </x:c>
      <x:c r="X100" s="41"/>
      <x:c r="Y100" s="41" t="str">
        <x:v>https://doi.org/10.1002/solr.202500538; https://ror.org/04xgh4d03</x:v>
      </x:c>
      <x:c r="Z100" s="41" t="str">
        <x:v>role; email; telephone; orcid; Google Scholar; OpenAlex; Scopus; Web of Science; personal website</x:v>
      </x:c>
      <x:c r="AA100" s="41" t="str">
        <x:v>Round-Robin Interlaboratory Comparison of Large-Area Organic Thin-Film and Perovskite Solar Cells</x:v>
      </x:c>
      <x:c r="AB100" s="41" t="str">
        <x:v>10.1002/solr.202500538</x:v>
      </x:c>
    </x:row>
    <x:row r="101">
      <x:c r="A101" s="41" t="str">
        <x:v>unsynced-lintinghan</x:v>
      </x:c>
      <x:c r="B101" s="41" t="str">
        <x:v>Lin, Ting-Han</x:v>
      </x:c>
      <x:c r="C101" s="41" t="str">
        <x:v>Ting-Han Lin</x:v>
      </x:c>
      <x:c r="D101" s="41" t="str">
        <x:v>Lin, Ting-Han; Ting-Han Lin; T. H. Lin</x:v>
      </x:c>
      <x:c r="E101" s="41" t="str">
        <x:v>verified</x:v>
      </x:c>
      <x:c r="F101" s="41" t="str">
        <x:v>ORCID + DOI-constrained OpenAlex match</x:v>
      </x:c>
      <x:c r="G101" s="42" t="str">
        <x:v>1.0</x:v>
      </x:c>
      <x:c r="H101" s="41"/>
      <x:c r="I101" s="43" t="str">
        <x:v>1</x:v>
      </x:c>
      <x:c r="J101" s="43" t="str">
        <x:v>2024</x:v>
      </x:c>
      <x:c r="K101" s="43" t="str">
        <x:v>2024</x:v>
      </x:c>
      <x:c r="L101" s="41"/>
      <x:c r="M101" s="41"/>
      <x:c r="N101" s="41" t="str">
        <x:v>Chang Gung University</x:v>
      </x:c>
      <x:c r="O101" s="41"/>
      <x:c r="P101" s="41"/>
      <x:c r="Q101" s="41" t="str">
        <x:v>0000-0002-0709-7306</x:v>
      </x:c>
      <x:c r="R101" s="41" t="str">
        <x:v>https://scholar.google.com/citations?user=79zH24gAAAAJ&amp;hl=zh-TW</x:v>
      </x:c>
      <x:c r="S101" s="41" t="str">
        <x:v>https://openalex.org/A5028335338</x:v>
      </x:c>
      <x:c r="T101" s="41"/>
      <x:c r="U101" s="41"/>
      <x:c r="V101" s="41"/>
      <x:c r="W101" s="41" t="str">
        <x:v>https://ror.org/00d80zx46</x:v>
      </x:c>
      <x:c r="X101" s="41"/>
      <x:c r="Y101" s="41" t="str">
        <x:v>https://openalex.org/A5028335338; https://orcid.org/0000-0002-0709-7306; https://doi.org/10.1016/j.cej.2024.153974; https://ror.org/00d80zx46</x:v>
      </x:c>
      <x:c r="Z101" s="41" t="str">
        <x:v>role; email; telephone; Scopus; Web of Science; personal website</x:v>
      </x:c>
      <x:c r="AA101" s="41" t="str">
        <x:v>A systematic investigation of PVDF-HFP in perovskite solar cells for improved space mission reliability</x:v>
      </x:c>
      <x:c r="AB101" s="41" t="str">
        <x:v>10.1016/j.cej.2024.153974</x:v>
      </x:c>
    </x:row>
    <x:row r="102">
      <x:c r="A102" s="41" t="str">
        <x:v>unsynced-linyuntou</x:v>
      </x:c>
      <x:c r="B102" s="41" t="str">
        <x:v>Lin, Yun-Tou</x:v>
      </x:c>
      <x:c r="C102" s="41" t="str">
        <x:v>Yun-Tou Lin</x:v>
      </x:c>
      <x:c r="D102" s="41" t="str">
        <x:v>Lin, Yun-Tou; Yun-Tou Lin</x:v>
      </x:c>
      <x:c r="E102" s="41" t="str">
        <x:v>verified</x:v>
      </x:c>
      <x:c r="F102" s="41" t="str">
        <x:v>Crossref DOI author match</x:v>
      </x:c>
      <x:c r="G102" s="42" t="str">
        <x:v>1.0</x:v>
      </x:c>
      <x:c r="H102" s="41"/>
      <x:c r="I102" s="43" t="str">
        <x:v>1</x:v>
      </x:c>
      <x:c r="J102" s="43" t="str">
        <x:v>2025</x:v>
      </x:c>
      <x:c r="K102" s="43" t="str">
        <x:v>2025</x:v>
      </x:c>
      <x:c r="L102" s="41"/>
      <x:c r="M102" s="41"/>
      <x:c r="N102" s="41" t="str">
        <x:v>Department of Chemical Engineering National Taiwan University of Science and Technology Taipei Taiwan</x:v>
      </x:c>
      <x:c r="O102" s="41"/>
      <x:c r="P102" s="41"/>
      <x:c r="Q102" s="41"/>
      <x:c r="R102" s="41"/>
      <x:c r="S102" s="41"/>
      <x:c r="T102" s="41"/>
      <x:c r="U102" s="41"/>
      <x:c r="V102" s="41"/>
      <x:c r="W102" s="41" t="str">
        <x:v>https://ror.org/00q09pe49</x:v>
      </x:c>
      <x:c r="X102" s="41"/>
      <x:c r="Y102" s="41" t="str">
        <x:v>https://doi.org/10.1002/solr.202500538; https://ror.org/00q09pe49</x:v>
      </x:c>
      <x:c r="Z102" s="41" t="str">
        <x:v>role; email; telephone; orcid; Google Scholar; OpenAlex; Scopus; Web of Science; personal website</x:v>
      </x:c>
      <x:c r="AA102" s="41" t="str">
        <x:v>Round-Robin Interlaboratory Comparison of Large-Area Organic Thin-Film and Perovskite Solar Cells</x:v>
      </x:c>
      <x:c r="AB102" s="41" t="str">
        <x:v>10.1002/solr.202500538</x:v>
      </x:c>
    </x:row>
    <x:row r="103">
      <x:c r="A103" s="41" t="str">
        <x:v>unsynced-lioushinjyun</x:v>
      </x:c>
      <x:c r="B103" s="41" t="str">
        <x:v>Liou, Shin-Jyun</x:v>
      </x:c>
      <x:c r="C103" s="41" t="str">
        <x:v>Shin-Jyun Liou</x:v>
      </x:c>
      <x:c r="D103" s="41" t="str">
        <x:v>Liou, Shin-Jyun; Shin-Jyun Liou</x:v>
      </x:c>
      <x:c r="E103" s="41" t="str">
        <x:v>verified</x:v>
      </x:c>
      <x:c r="F103" s="41" t="str">
        <x:v>Crossref DOI author match</x:v>
      </x:c>
      <x:c r="G103" s="42" t="str">
        <x:v>1.0</x:v>
      </x:c>
      <x:c r="H103" s="41"/>
      <x:c r="I103" s="43" t="str">
        <x:v>1</x:v>
      </x:c>
      <x:c r="J103" s="43" t="str">
        <x:v>2023</x:v>
      </x:c>
      <x:c r="K103" s="43" t="str">
        <x:v>2023</x:v>
      </x:c>
      <x:c r="L103" s="41"/>
      <x:c r="M103" s="41"/>
      <x:c r="N103" s="41" t="str">
        <x:v>Tunghai University</x:v>
      </x:c>
      <x:c r="O103" s="41"/>
      <x:c r="P103" s="41"/>
      <x:c r="Q103" s="41"/>
      <x:c r="R103" s="41"/>
      <x:c r="S103" s="41"/>
      <x:c r="T103" s="41"/>
      <x:c r="U103" s="41"/>
      <x:c r="V103" s="41"/>
      <x:c r="W103" s="41" t="str">
        <x:v>https://ror.org/00zhvdn11</x:v>
      </x:c>
      <x:c r="X103" s="41"/>
      <x:c r="Y103" s="41" t="str">
        <x:v>https://doi.org/10.1016/j.jpowsour.2023.233496; https://ror.org/00zhvdn11</x:v>
      </x:c>
      <x:c r="Z103" s="41" t="str">
        <x:v>role; email; telephone; orcid; Google Scholar; OpenAlex; Scopus; Web of Science; personal website</x:v>
      </x:c>
      <x:c r="AA103" s="41" t="str">
        <x:v>Ladder-type dihydronaphtho [1, 2, 3, 4-rst] pentaphene as building block to construct hole-transporting materials for perovskite solar cells</x:v>
      </x:c>
      <x:c r="AB103" s="41" t="str">
        <x:v>10.1016/j.jpowsour.2023.233496</x:v>
      </x:c>
    </x:row>
    <x:row r="104">
      <x:c r="A104" s="41" t="str">
        <x:v>unsynced-liuyingchuan</x:v>
      </x:c>
      <x:c r="B104" s="41" t="str">
        <x:v>Liu, Ying-Chuan</x:v>
      </x:c>
      <x:c r="C104" s="41" t="str">
        <x:v>Ying-Chuan Liu</x:v>
      </x:c>
      <x:c r="D104" s="41" t="str">
        <x:v>Liu, Ying-Chuan; Ying-Chuan Liu</x:v>
      </x:c>
      <x:c r="E104" s="41" t="str">
        <x:v>verified</x:v>
      </x:c>
      <x:c r="F104" s="41" t="str">
        <x:v>DOI-constrained OpenAlex match</x:v>
      </x:c>
      <x:c r="G104" s="42" t="str">
        <x:v>1.0</x:v>
      </x:c>
      <x:c r="H104" s="41"/>
      <x:c r="I104" s="43" t="str">
        <x:v>1</x:v>
      </x:c>
      <x:c r="J104" s="43" t="str">
        <x:v>2025</x:v>
      </x:c>
      <x:c r="K104" s="43" t="str">
        <x:v>2025</x:v>
      </x:c>
      <x:c r="L104" s="41"/>
      <x:c r="M104" s="41"/>
      <x:c r="N104" s="41" t="str">
        <x:v>Department of Chemistry National Central University Taiwan</x:v>
      </x:c>
      <x:c r="O104" s="41"/>
      <x:c r="P104" s="41"/>
      <x:c r="Q104" s="41"/>
      <x:c r="R104" s="41"/>
      <x:c r="S104" s="41" t="str">
        <x:v>https://openalex.org/A5038281969</x:v>
      </x:c>
      <x:c r="T104" s="41"/>
      <x:c r="U104" s="41"/>
      <x:c r="V104" s="41"/>
      <x:c r="W104" s="41" t="str">
        <x:v>https://ror.org/00944ve71</x:v>
      </x:c>
      <x:c r="X104" s="41"/>
      <x:c r="Y104" s="41" t="str">
        <x:v>https://openalex.org/A5038281969; https://doi.org/10.1002/solr.202500538; https://ror.org/00944ve71</x:v>
      </x:c>
      <x:c r="Z104" s="41" t="str">
        <x:v>role; email; telephone; orcid; Google Scholar; Scopus; Web of Science; personal website</x:v>
      </x:c>
      <x:c r="AA104" s="41" t="str">
        <x:v>Round-Robin Interlaboratory Comparison of Large-Area Organic Thin-Film and Perovskite Solar Cells</x:v>
      </x:c>
      <x:c r="AB104" s="41" t="str">
        <x:v>10.1002/solr.202500538</x:v>
      </x:c>
    </x:row>
    <x:row r="105">
      <x:c r="A105" s="41" t="str">
        <x:v>unsynced-lumingde</x:v>
      </x:c>
      <x:c r="B105" s="41" t="str">
        <x:v>Lu, Ming-De</x:v>
      </x:c>
      <x:c r="C105" s="41" t="str">
        <x:v>Ming-De Lu</x:v>
      </x:c>
      <x:c r="D105" s="41" t="str">
        <x:v>Lu, Ming-De; Ming-De Lu</x:v>
      </x:c>
      <x:c r="E105" s="41" t="str">
        <x:v>verified</x:v>
      </x:c>
      <x:c r="F105" s="41" t="str">
        <x:v>DOI-constrained OpenAlex match</x:v>
      </x:c>
      <x:c r="G105" s="42" t="str">
        <x:v>1.0</x:v>
      </x:c>
      <x:c r="H105" s="41"/>
      <x:c r="I105" s="43" t="str">
        <x:v>1</x:v>
      </x:c>
      <x:c r="J105" s="43" t="str">
        <x:v>2011</x:v>
      </x:c>
      <x:c r="K105" s="43" t="str">
        <x:v>2011</x:v>
      </x:c>
      <x:c r="L105" s="41"/>
      <x:c r="M105" s="41"/>
      <x:c r="N105" s="41" t="str">
        <x:v>Industrial Technology Research Institute</x:v>
      </x:c>
      <x:c r="O105" s="41"/>
      <x:c r="P105" s="41"/>
      <x:c r="Q105" s="41"/>
      <x:c r="R105" s="41"/>
      <x:c r="S105" s="41" t="str">
        <x:v>https://openalex.org/A5043390506</x:v>
      </x:c>
      <x:c r="T105" s="41"/>
      <x:c r="U105" s="41"/>
      <x:c r="V105" s="41"/>
      <x:c r="W105" s="41" t="str">
        <x:v>https://ror.org/05szzwt63</x:v>
      </x:c>
      <x:c r="X105" s="41"/>
      <x:c r="Y105" s="41" t="str">
        <x:v>https://openalex.org/A5043390506; https://doi.org/10.1016/j.jpowsour.2011.06.049; https://ror.org/05szzwt63</x:v>
      </x:c>
      <x:c r="Z105" s="41" t="str">
        <x:v>role; email; telephone; orcid; Google Scholar; Scopus; Web of Science; personal website</x:v>
      </x:c>
      <x:c r="AA105" s="41" t="str">
        <x:v>Improvement on the long-term stability of flexible plastic dye-sensitized solar cells</x:v>
      </x:c>
      <x:c r="AB105" s="41" t="str">
        <x:v>10.1016/j.jpowsour.2011.06.049</x:v>
      </x:c>
    </x:row>
    <x:row r="106">
      <x:c r="A106" s="41" t="str">
        <x:v>unsynced-panjuiting</x:v>
      </x:c>
      <x:c r="B106" s="41" t="str">
        <x:v>Pan, Jui-Ting</x:v>
      </x:c>
      <x:c r="C106" s="41" t="str">
        <x:v>Jui-Ting Pan</x:v>
      </x:c>
      <x:c r="D106" s="41" t="str">
        <x:v>Pan, Jui-Ting; Jui-Ting Pan</x:v>
      </x:c>
      <x:c r="E106" s="41" t="str">
        <x:v>verified</x:v>
      </x:c>
      <x:c r="F106" s="41" t="str">
        <x:v>Crossref DOI author match</x:v>
      </x:c>
      <x:c r="G106" s="42" t="str">
        <x:v>1.0</x:v>
      </x:c>
      <x:c r="H106" s="41"/>
      <x:c r="I106" s="43" t="str">
        <x:v>1</x:v>
      </x:c>
      <x:c r="J106" s="43" t="str">
        <x:v>2025</x:v>
      </x:c>
      <x:c r="K106" s="43" t="str">
        <x:v>2025</x:v>
      </x:c>
      <x:c r="L106" s="41"/>
      <x:c r="M106" s="41"/>
      <x:c r="N106" s="41" t="str">
        <x:v>Department of Chemistry Soochow University Taipei 11102 Taiwan</x:v>
      </x:c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 t="str">
        <x:v>role; email; telephone; orcid; Google Scholar; OpenAlex; Scopus; Web of Science; institution page; personal website</x:v>
      </x:c>
      <x:c r="AA106" s="41" t="str">
        <x:v>Asymmetric Fluorinated Cyclopenta [2, 1‐b: 3, 4‐b'] Dithiophene‐Based Hole‐Transporting Materials for Perovskite Solar Cell</x:v>
      </x:c>
      <x:c r="AB106" s="41" t="str">
        <x:v>10.1002/asia.202500719</x:v>
      </x:c>
    </x:row>
    <x:row r="107">
      <x:c r="A107" s="41" t="str">
        <x:v>unsynced-rahayusitiutari</x:v>
      </x:c>
      <x:c r="B107" s="41" t="str">
        <x:v>Rahayu, Siti Utari</x:v>
      </x:c>
      <x:c r="C107" s="41" t="str">
        <x:v>Siti Utari Rahayu</x:v>
      </x:c>
      <x:c r="D107" s="41" t="str">
        <x:v>Rahayu, Siti Utari; Siti Utari Rahayu; Rahayu, S.; S Rahayu; S U Rahayu; Siti Rahayu</x:v>
      </x:c>
      <x:c r="E107" s="41" t="str">
        <x:v>verified</x:v>
      </x:c>
      <x:c r="F107" s="41" t="str">
        <x:v>ORCID + DOI-constrained OpenAlex match</x:v>
      </x:c>
      <x:c r="G107" s="42" t="str">
        <x:v>1.0</x:v>
      </x:c>
      <x:c r="H107" s="41"/>
      <x:c r="I107" s="43" t="str">
        <x:v>1</x:v>
      </x:c>
      <x:c r="J107" s="43" t="str">
        <x:v>2025</x:v>
      </x:c>
      <x:c r="K107" s="43" t="str">
        <x:v>2025</x:v>
      </x:c>
      <x:c r="L107" s="41" t="str">
        <x:v>Lecturer</x:v>
      </x:c>
      <x:c r="M107" s="41" t="str">
        <x:v>Lecturer</x:v>
      </x:c>
      <x:c r="N107" s="41" t="str">
        <x:v>Physics, Universitas Sumatera Utara</x:v>
      </x:c>
      <x:c r="O107" s="41" t="str">
        <x:v>sitiutarirahayu@yahoo.co.id; siti.utari@usu.ac.id</x:v>
      </x:c>
      <x:c r="P107" s="41"/>
      <x:c r="Q107" s="41" t="str">
        <x:v>0000-0002-5074-8151</x:v>
      </x:c>
      <x:c r="R107" s="41"/>
      <x:c r="S107" s="41" t="str">
        <x:v>https://openalex.org/A5050368054</x:v>
      </x:c>
      <x:c r="T107" s="41"/>
      <x:c r="U107" s="41"/>
      <x:c r="V107" s="41"/>
      <x:c r="W107" s="41" t="str">
        <x:v>https://ror.org/05vn3ca78</x:v>
      </x:c>
      <x:c r="X107" s="41" t="str">
        <x:v>https://sitiutarirahayu.blogspot.com/</x:v>
      </x:c>
      <x:c r="Y107" s="41" t="str">
        <x:v>https://openalex.org/A5050368054; https://orcid.org/0000-0002-5074-8151; https://doi.org/10.1002/solr.202500538; https://ror.org/05vn3ca78; https://sitiutarirahayu.blogspot.com/</x:v>
      </x:c>
      <x:c r="Z107" s="41" t="str">
        <x:v>telephone; Google Scholar; Scopus; Web of Science</x:v>
      </x:c>
      <x:c r="AA107" s="41" t="str">
        <x:v>Round-Robin Interlaboratory Comparison of Large-Area Organic Thin-Film and Perovskite Solar Cells</x:v>
      </x:c>
      <x:c r="AB107" s="41" t="str">
        <x:v>10.1002/solr.202500538</x:v>
      </x:c>
    </x:row>
    <x:row r="108">
      <x:c r="A108" s="41" t="str">
        <x:v>unsynced-shabirabdul</x:v>
      </x:c>
      <x:c r="B108" s="41" t="str">
        <x:v>Shabir, Abdul</x:v>
      </x:c>
      <x:c r="C108" s="41" t="str">
        <x:v>Abdul Shabir</x:v>
      </x:c>
      <x:c r="D108" s="41" t="str">
        <x:v>Shabir, Abdul; Abdul Shabir</x:v>
      </x:c>
      <x:c r="E108" s="41" t="str">
        <x:v>verified</x:v>
      </x:c>
      <x:c r="F108" s="41" t="str">
        <x:v>ORCID + DOI-constrained OpenAlex match</x:v>
      </x:c>
      <x:c r="G108" s="42" t="str">
        <x:v>1.0</x:v>
      </x:c>
      <x:c r="H108" s="41"/>
      <x:c r="I108" s="43" t="str">
        <x:v>1</x:v>
      </x:c>
      <x:c r="J108" s="43" t="str">
        <x:v>2024</x:v>
      </x:c>
      <x:c r="K108" s="43" t="str">
        <x:v>2024</x:v>
      </x:c>
      <x:c r="L108" s="41"/>
      <x:c r="M108" s="41"/>
      <x:c r="N108" s="41" t="str">
        <x:v>Chang Gung University</x:v>
      </x:c>
      <x:c r="O108" s="41"/>
      <x:c r="P108" s="41"/>
      <x:c r="Q108" s="41" t="str">
        <x:v>0000-0002-4631-6786</x:v>
      </x:c>
      <x:c r="R108" s="41" t="str">
        <x:v>https://scholar.google.com/citations?user=gPbKnCkAAAAJ&amp;hl=zh-TW</x:v>
      </x:c>
      <x:c r="S108" s="41" t="str">
        <x:v>https://openalex.org/A5016345772</x:v>
      </x:c>
      <x:c r="T108" s="41"/>
      <x:c r="U108" s="41"/>
      <x:c r="V108" s="41"/>
      <x:c r="W108" s="41" t="str">
        <x:v>https://ror.org/00d80zx46</x:v>
      </x:c>
      <x:c r="X108" s="41"/>
      <x:c r="Y108" s="41" t="str">
        <x:v>https://openalex.org/A5016345772; https://orcid.org/0000-0002-4631-6786; https://doi.org/10.1016/j.jece.2023.111741; https://ror.org/00d80zx46</x:v>
      </x:c>
      <x:c r="Z108" s="41" t="str">
        <x:v>role; email; telephone; Scopus; Web of Science; personal website</x:v>
      </x:c>
      <x:c r="AA108" s="41" t="str">
        <x:v>Additive-free electroless deposition on graphene/copper foil: Photo-induced and defect-assisted approach for environmentally friendly plating</x:v>
      </x:c>
      <x:c r="AB108" s="41" t="str">
        <x:v>10.1016/j.jece.2023.111741</x:v>
      </x:c>
    </x:row>
    <x:row r="109">
      <x:c r="A109" s="41" t="str">
        <x:v>unsynced-shizhongen</x:v>
      </x:c>
      <x:c r="B109" s="41" t="str">
        <x:v>Shi, Zhong-En</x:v>
      </x:c>
      <x:c r="C109" s="41" t="str">
        <x:v>Zhong-En Shi</x:v>
      </x:c>
      <x:c r="D109" s="41" t="str">
        <x:v>Shi, Zhong-En; Zhong-En Shi</x:v>
      </x:c>
      <x:c r="E109" s="41" t="str">
        <x:v>verified</x:v>
      </x:c>
      <x:c r="F109" s="41" t="str">
        <x:v>ORCID + DOI-constrained OpenAlex match</x:v>
      </x:c>
      <x:c r="G109" s="42" t="str">
        <x:v>1.0</x:v>
      </x:c>
      <x:c r="H109" s="41"/>
      <x:c r="I109" s="43" t="str">
        <x:v>1</x:v>
      </x:c>
      <x:c r="J109" s="43" t="str">
        <x:v>2025</x:v>
      </x:c>
      <x:c r="K109" s="43" t="str">
        <x:v>2025</x:v>
      </x:c>
      <x:c r="L109" s="41" t="str">
        <x:v>Postdoc</x:v>
      </x:c>
      <x:c r="M109" s="41" t="str">
        <x:v>Postdoc</x:v>
      </x:c>
      <x:c r="N109" s="41" t="str">
        <x:v>Department of Materials Engineering, Ming Chi University of Technology</x:v>
      </x:c>
      <x:c r="O109" s="41"/>
      <x:c r="P109" s="41"/>
      <x:c r="Q109" s="41" t="str">
        <x:v>0000-0001-6807-5832</x:v>
      </x:c>
      <x:c r="R109" s="41"/>
      <x:c r="S109" s="41" t="str">
        <x:v>https://openalex.org/A5081698873</x:v>
      </x:c>
      <x:c r="T109" s="41"/>
      <x:c r="U109" s="41"/>
      <x:c r="V109" s="41"/>
      <x:c r="W109" s="41" t="str">
        <x:v>https://ror.org/04xgh4d03</x:v>
      </x:c>
      <x:c r="X109" s="41"/>
      <x:c r="Y109" s="41" t="str">
        <x:v>https://openalex.org/A5081698873; https://orcid.org/0000-0001-6807-5832; https://doi.org/10.1002/solr.202500538; https://ror.org/04xgh4d03</x:v>
      </x:c>
      <x:c r="Z109" s="41" t="str">
        <x:v>email; telephone; Google Scholar; Scopus; Web of Science; personal website</x:v>
      </x:c>
      <x:c r="AA109" s="41" t="str">
        <x:v>Round-Robin Interlaboratory Comparison of Large-Area Organic Thin-Film and Perovskite Solar Cells</x:v>
      </x:c>
      <x:c r="AB109" s="41" t="str">
        <x:v>10.1002/solr.202500538</x:v>
      </x:c>
    </x:row>
    <x:row r="110">
      <x:c r="A110" s="41" t="str">
        <x:v>unsynced-shihyenchen</x:v>
      </x:c>
      <x:c r="B110" s="41" t="str">
        <x:v>Shih, Yen-Chen</x:v>
      </x:c>
      <x:c r="C110" s="41" t="str">
        <x:v>Yen-Chen Shih</x:v>
      </x:c>
      <x:c r="D110" s="41" t="str">
        <x:v>Shih, Yen-Chen; Yen-Chen Shih</x:v>
      </x:c>
      <x:c r="E110" s="41" t="str">
        <x:v>verified</x:v>
      </x:c>
      <x:c r="F110" s="41" t="str">
        <x:v>DOI-constrained OpenAlex match</x:v>
      </x:c>
      <x:c r="G110" s="42" t="str">
        <x:v>1.0</x:v>
      </x:c>
      <x:c r="H110" s="41"/>
      <x:c r="I110" s="43" t="str">
        <x:v>1</x:v>
      </x:c>
      <x:c r="J110" s="43" t="str">
        <x:v>2025</x:v>
      </x:c>
      <x:c r="K110" s="43" t="str">
        <x:v>2025</x:v>
      </x:c>
      <x:c r="L110" s="41"/>
      <x:c r="M110" s="41"/>
      <x:c r="N110" s="41" t="str">
        <x:v>Ways Technical Corp. Ltd. Taoyuan Taiwan</x:v>
      </x:c>
      <x:c r="O110" s="41"/>
      <x:c r="P110" s="41"/>
      <x:c r="Q110" s="41"/>
      <x:c r="R110" s="41"/>
      <x:c r="S110" s="41" t="str">
        <x:v>https://openalex.org/A5101033238</x:v>
      </x:c>
      <x:c r="T110" s="41"/>
      <x:c r="U110" s="41"/>
      <x:c r="V110" s="41"/>
      <x:c r="W110" s="41" t="str">
        <x:v>https://ror.org/02pgrmd66</x:v>
      </x:c>
      <x:c r="X110" s="41"/>
      <x:c r="Y110" s="41" t="str">
        <x:v>https://openalex.org/A5101033238; https://doi.org/10.1002/solr.202500538; https://ror.org/02pgrmd66</x:v>
      </x:c>
      <x:c r="Z110" s="41" t="str">
        <x:v>role; email; telephone; orcid; Google Scholar; Scopus; Web of Science; personal website</x:v>
      </x:c>
      <x:c r="AA110" s="41" t="str">
        <x:v>Round-Robin Interlaboratory Comparison of Large-Area Organic Thin-Film and Perovskite Solar Cells</x:v>
      </x:c>
      <x:c r="AB110" s="41" t="str">
        <x:v>10.1002/solr.202500538</x:v>
      </x:c>
    </x:row>
    <x:row r="111">
      <x:c r="A111" s="41" t="str">
        <x:v>unsynced-sungyiwen</x:v>
      </x:c>
      <x:c r="B111" s="41" t="str">
        <x:v>Sung, Yi-Wen</x:v>
      </x:c>
      <x:c r="C111" s="41" t="str">
        <x:v>Yi-Wen Sung</x:v>
      </x:c>
      <x:c r="D111" s="41" t="str">
        <x:v>Sung, Yi-Wen; Yi-Wen Sung</x:v>
      </x:c>
      <x:c r="E111" s="41" t="str">
        <x:v>verified</x:v>
      </x:c>
      <x:c r="F111" s="41" t="str">
        <x:v>DOI-constrained OpenAlex match</x:v>
      </x:c>
      <x:c r="G111" s="42" t="str">
        <x:v>1.0</x:v>
      </x:c>
      <x:c r="H111" s="41"/>
      <x:c r="I111" s="43" t="str">
        <x:v>1</x:v>
      </x:c>
      <x:c r="J111" s="43" t="str">
        <x:v>2026</x:v>
      </x:c>
      <x:c r="K111" s="43" t="str">
        <x:v>2026</x:v>
      </x:c>
      <x:c r="L111" s="41"/>
      <x:c r="M111" s="41"/>
      <x:c r="N111" s="41" t="str">
        <x:v>Chang Gung University</x:v>
      </x:c>
      <x:c r="O111" s="41"/>
      <x:c r="P111" s="41"/>
      <x:c r="Q111" s="41"/>
      <x:c r="R111" s="41"/>
      <x:c r="S111" s="41" t="str">
        <x:v>https://openalex.org/A5136426351</x:v>
      </x:c>
      <x:c r="T111" s="41"/>
      <x:c r="U111" s="41"/>
      <x:c r="V111" s="41"/>
      <x:c r="W111" s="41" t="str">
        <x:v>https://ror.org/00d80zx46</x:v>
      </x:c>
      <x:c r="X111" s="41"/>
      <x:c r="Y111" s="41" t="str">
        <x:v>https://openalex.org/A5136426351; https://doi.org/10.1016/j.cej.2026.177494; https://ror.org/00d80zx46</x:v>
      </x:c>
      <x:c r="Z111" s="41" t="str">
        <x:v>role; email; telephone; orcid; Google Scholar; Scopus; Web of Science; personal website</x:v>
      </x:c>
      <x:c r="AA111" s="41" t="str">
        <x:v>Reliability enhancement of PVDF-HFP modified perovskite solar cells under synergistic space-relevant stress conditions</x:v>
      </x:c>
      <x:c r="AB111" s="41" t="str">
        <x:v>10.1016/j.cej.2026.177494</x:v>
      </x:c>
    </x:row>
    <x:row r="112">
      <x:c r="A112" s="41" t="str">
        <x:v>unsynced-taipotse</x:v>
      </x:c>
      <x:c r="B112" s="41" t="str">
        <x:v>Tai, Po-Tse</x:v>
      </x:c>
      <x:c r="C112" s="41" t="str">
        <x:v>Po-Tse Tai</x:v>
      </x:c>
      <x:c r="D112" s="41" t="str">
        <x:v>Tai, Po-Tse; Po-Tse Tai; P.T. Tai</x:v>
      </x:c>
      <x:c r="E112" s="41" t="str">
        <x:v>verified</x:v>
      </x:c>
      <x:c r="F112" s="41" t="str">
        <x:v>DOI-constrained OpenAlex match</x:v>
      </x:c>
      <x:c r="G112" s="42" t="str">
        <x:v>1.0</x:v>
      </x:c>
      <x:c r="H112" s="41"/>
      <x:c r="I112" s="43" t="str">
        <x:v>1</x:v>
      </x:c>
      <x:c r="J112" s="43" t="str">
        <x:v>2005</x:v>
      </x:c>
      <x:c r="K112" s="43" t="str">
        <x:v>2005</x:v>
      </x:c>
      <x:c r="L112" s="41"/>
      <x:c r="M112" s="41"/>
      <x:c r="N112" s="41" t="str">
        <x:v>National Yang Ming Chiao Tung University</x:v>
      </x:c>
      <x:c r="O112" s="41"/>
      <x:c r="P112" s="41"/>
      <x:c r="Q112" s="41"/>
      <x:c r="R112" s="41"/>
      <x:c r="S112" s="41" t="str">
        <x:v>https://openalex.org/A5111648315</x:v>
      </x:c>
      <x:c r="T112" s="41"/>
      <x:c r="U112" s="41"/>
      <x:c r="V112" s="41"/>
      <x:c r="W112" s="41" t="str">
        <x:v>https://ror.org/00se2k293</x:v>
      </x:c>
      <x:c r="X112" s="41"/>
      <x:c r="Y112" s="41" t="str">
        <x:v>https://openalex.org/A5111648315; https://doi.org/10.1016/j.optcom.2004.10.003; https://ror.org/00se2k293</x:v>
      </x:c>
      <x:c r="Z112" s="41" t="str">
        <x:v>role; email; telephone; orcid; Google Scholar; Scopus; Web of Science; personal website</x:v>
      </x:c>
      <x:c r="AA112" s="41" t="str">
        <x:v>Transverse excess noise factor and transverse mode locking in a gain-guided laser</x:v>
      </x:c>
      <x:c r="AB112" s="41" t="str">
        <x:v>10.1016/j.optcom.2004.10.003</x:v>
      </x:c>
    </x:row>
    <x:row r="113">
      <x:c r="A113" s="41" t="str">
        <x:v>unsynced-taiyian</x:v>
      </x:c>
      <x:c r="B113" s="41" t="str">
        <x:v>Tai, Yian</x:v>
      </x:c>
      <x:c r="C113" s="41" t="str">
        <x:v>Yian Tai</x:v>
      </x:c>
      <x:c r="D113" s="41" t="str">
        <x:v>Tai, Yian; Yian Tai; Y Tai</x:v>
      </x:c>
      <x:c r="E113" s="41" t="str">
        <x:v>verified</x:v>
      </x:c>
      <x:c r="F113" s="41" t="str">
        <x:v>ORCID + DOI-constrained OpenAlex match</x:v>
      </x:c>
      <x:c r="G113" s="42" t="str">
        <x:v>1.0</x:v>
      </x:c>
      <x:c r="H113" s="41"/>
      <x:c r="I113" s="43" t="str">
        <x:v>1</x:v>
      </x:c>
      <x:c r="J113" s="43" t="str">
        <x:v>2025</x:v>
      </x:c>
      <x:c r="K113" s="43" t="str">
        <x:v>2025</x:v>
      </x:c>
      <x:c r="L113" s="41"/>
      <x:c r="M113" s="41"/>
      <x:c r="N113" s="41" t="str">
        <x:v>Department of Chemical Engineering National Taiwan University of Science and Technology Taipei Taiwan</x:v>
      </x:c>
      <x:c r="O113" s="41"/>
      <x:c r="P113" s="41"/>
      <x:c r="Q113" s="41" t="str">
        <x:v>0000-0001-7000-6086</x:v>
      </x:c>
      <x:c r="R113" s="41" t="str">
        <x:v>https://scholar.google.com/citations?user=Lql95bUAAAAJ&amp;hl=zh-TW</x:v>
      </x:c>
      <x:c r="S113" s="41" t="str">
        <x:v>https://openalex.org/A5058112195</x:v>
      </x:c>
      <x:c r="T113" s="41"/>
      <x:c r="U113" s="41"/>
      <x:c r="V113" s="41"/>
      <x:c r="W113" s="41" t="str">
        <x:v>https://ror.org/00q09pe49</x:v>
      </x:c>
      <x:c r="X113" s="41"/>
      <x:c r="Y113" s="41" t="str">
        <x:v>https://openalex.org/A5058112195; https://orcid.org/0000-0001-7000-6086; https://doi.org/10.1002/solr.202500538; https://ror.org/00q09pe49</x:v>
      </x:c>
      <x:c r="Z113" s="41" t="str">
        <x:v>role; email; telephone; Scopus; Web of Science; personal website</x:v>
      </x:c>
      <x:c r="AA113" s="41" t="str">
        <x:v>Round-Robin Interlaboratory Comparison of Large-Area Organic Thin-Film and Perovskite Solar Cells</x:v>
      </x:c>
      <x:c r="AB113" s="41" t="str">
        <x:v>10.1002/solr.202500538</x:v>
      </x:c>
    </x:row>
    <x:row r="114">
      <x:c r="A114" s="41" t="str">
        <x:v>unsynced-tancherming</x:v>
      </x:c>
      <x:c r="B114" s="41" t="str">
        <x:v>Tan, Cher Ming</x:v>
      </x:c>
      <x:c r="C114" s="41" t="str">
        <x:v>Cher Ming Tan</x:v>
      </x:c>
      <x:c r="D114" s="41" t="str">
        <x:v>Tan, Cher Ming; Cher Ming Tan; C M Tan; C. Tan; Cher Tan</x:v>
      </x:c>
      <x:c r="E114" s="41" t="str">
        <x:v>verified</x:v>
      </x:c>
      <x:c r="F114" s="41" t="str">
        <x:v>ORCID + DOI-constrained OpenAlex match</x:v>
      </x:c>
      <x:c r="G114" s="42" t="str">
        <x:v>1.0</x:v>
      </x:c>
      <x:c r="H114" s="41"/>
      <x:c r="I114" s="43" t="str">
        <x:v>1</x:v>
      </x:c>
      <x:c r="J114" s="43" t="str">
        <x:v>2024</x:v>
      </x:c>
      <x:c r="K114" s="43" t="str">
        <x:v>2024</x:v>
      </x:c>
      <x:c r="L114" s="41" t="str">
        <x:v>Special Assistant</x:v>
      </x:c>
      <x:c r="M114" s="41" t="str">
        <x:v>Special Assistant</x:v>
      </x:c>
      <x:c r="N114" s="41" t="str">
        <x:v>CEO Office, LiteOn Power Semiconductor Corporation</x:v>
      </x:c>
      <x:c r="O114" s="41"/>
      <x:c r="P114" s="41"/>
      <x:c r="Q114" s="41" t="str">
        <x:v>0000-0002-6330-3899</x:v>
      </x:c>
      <x:c r="R114" s="41" t="str">
        <x:v>https://scholar.google.com/citations?user=nlnCwXQAAAAJ&amp;hl=zh-TW</x:v>
      </x:c>
      <x:c r="S114" s="41" t="str">
        <x:v>https://openalex.org/A5045004316</x:v>
      </x:c>
      <x:c r="T114" s="41"/>
      <x:c r="U114" s="41" t="str">
        <x:v>https://www.scopus.com/authid/detail.uri?authorId=7402818339</x:v>
      </x:c>
      <x:c r="V114" s="41"/>
      <x:c r="W114" s="41" t="str">
        <x:v>https://pure.lib.cgu.edu.tw/en/persons/22de0b86-679d-4afa-ab7b-2a81d1238998</x:v>
      </x:c>
      <x:c r="X114" s="41"/>
      <x:c r="Y114" s="41" t="str">
        <x:v>https://openalex.org/A5045004316; https://orcid.org/0000-0002-6330-3899; https://doi.org/10.1016/j.jece.2023.111741; https://pure.lib.cgu.edu.tw/en/persons/22de0b86-679d-4afa-ab7b-2a81d1238998</x:v>
      </x:c>
      <x:c r="Z114" s="41" t="str">
        <x:v>email; telephone; Web of Science; personal website</x:v>
      </x:c>
      <x:c r="AA114" s="41" t="str">
        <x:v>Additive-free electroless deposition on graphene/copper foil: Photo-induced and defect-assisted approach for environmentally friendly plating</x:v>
      </x:c>
      <x:c r="AB114" s="41" t="str">
        <x:v>10.1016/j.jece.2023.111741</x:v>
      </x:c>
    </x:row>
    <x:row r="115">
      <x:c r="A115" s="41" t="str">
        <x:v>unsynced-thakrananjali</x:v>
      </x:c>
      <x:c r="B115" s="41" t="str">
        <x:v>Thakran, Anjali</x:v>
      </x:c>
      <x:c r="C115" s="41" t="str">
        <x:v>Anjali Thakran</x:v>
      </x:c>
      <x:c r="D115" s="41" t="str">
        <x:v>Thakran, Anjali; Anjali Thakran</x:v>
      </x:c>
      <x:c r="E115" s="41" t="str">
        <x:v>verified</x:v>
      </x:c>
      <x:c r="F115" s="41" t="str">
        <x:v>ORCID + DOI-constrained OpenAlex match</x:v>
      </x:c>
      <x:c r="G115" s="42" t="str">
        <x:v>1.0</x:v>
      </x:c>
      <x:c r="H115" s="41"/>
      <x:c r="I115" s="43" t="str">
        <x:v>1</x:v>
      </x:c>
      <x:c r="J115" s="43" t="str">
        <x:v>2025</x:v>
      </x:c>
      <x:c r="K115" s="43" t="str">
        <x:v>2025</x:v>
      </x:c>
      <x:c r="L115" s="41" t="str">
        <x:v>Post-doctoral Fellow</x:v>
      </x:c>
      <x:c r="M115" s="41" t="str">
        <x:v>Post-doctoral Fellow</x:v>
      </x:c>
      <x:c r="N115" s="41" t="str">
        <x:v>Research Center for Applied Sciences, Academia Sinica</x:v>
      </x:c>
      <x:c r="O115" s="41"/>
      <x:c r="P115" s="41"/>
      <x:c r="Q115" s="41" t="str">
        <x:v>0000-0003-1250-2166</x:v>
      </x:c>
      <x:c r="R115" s="41" t="str">
        <x:v>https://scholar.google.com/citations?user=a_NI_NIAAAAJ&amp;hl=zh-TW</x:v>
      </x:c>
      <x:c r="S115" s="41" t="str">
        <x:v>https://openalex.org/A5044541891</x:v>
      </x:c>
      <x:c r="T115" s="41"/>
      <x:c r="U115" s="41"/>
      <x:c r="V115" s="41"/>
      <x:c r="W115" s="41" t="str">
        <x:v>https://ror.org/05bxb3784</x:v>
      </x:c>
      <x:c r="X115" s="41" t="str">
        <x:v>https://acs.digitellinc.com/live/31/session/527509</x:v>
      </x:c>
      <x:c r="Y115" s="41" t="str">
        <x:v>https://openalex.org/A5044541891; https://orcid.org/0000-0003-1250-2166; https://doi.org/10.1002/solr.202500538; https://ror.org/05bxb3784; https://acs.digitellinc.com/live/31/session/527509</x:v>
      </x:c>
      <x:c r="Z115" s="41" t="str">
        <x:v>email; telephone; Scopus; Web of Science</x:v>
      </x:c>
      <x:c r="AA115" s="41" t="str">
        <x:v>Round-Robin Interlaboratory Comparison of Large-Area Organic Thin-Film and Perovskite Solar Cells</x:v>
      </x:c>
      <x:c r="AB115" s="41" t="str">
        <x:v>10.1002/solr.202500538</x:v>
      </x:c>
    </x:row>
    <x:row r="116">
      <x:c r="A116" s="41" t="str">
        <x:v>unsynced-tsaijhaoyun</x:v>
      </x:c>
      <x:c r="B116" s="41" t="str">
        <x:v>Tsai, Jhao-Yun</x:v>
      </x:c>
      <x:c r="C116" s="41" t="str">
        <x:v>Jhao-Yun Tsai</x:v>
      </x:c>
      <x:c r="D116" s="41" t="str">
        <x:v>Tsai, Jhao-Yun; Jhao-Yun Tsai</x:v>
      </x:c>
      <x:c r="E116" s="41" t="str">
        <x:v>verified</x:v>
      </x:c>
      <x:c r="F116" s="41" t="str">
        <x:v>Crossref DOI author match</x:v>
      </x:c>
      <x:c r="G116" s="42" t="str">
        <x:v>1.0</x:v>
      </x:c>
      <x:c r="H116" s="41"/>
      <x:c r="I116" s="43" t="str">
        <x:v>1</x:v>
      </x:c>
      <x:c r="J116" s="43" t="str">
        <x:v>2025</x:v>
      </x:c>
      <x:c r="K116" s="43" t="str">
        <x:v>2025</x:v>
      </x:c>
      <x:c r="L116" s="41"/>
      <x:c r="M116" s="41"/>
      <x:c r="N116" s="41" t="str">
        <x:v>Department of Chemical Engineering National Taiwan University of Science and Technology Taipei Taiwan</x:v>
      </x:c>
      <x:c r="O116" s="41"/>
      <x:c r="P116" s="41"/>
      <x:c r="Q116" s="41"/>
      <x:c r="R116" s="41"/>
      <x:c r="S116" s="41"/>
      <x:c r="T116" s="41"/>
      <x:c r="U116" s="41"/>
      <x:c r="V116" s="41"/>
      <x:c r="W116" s="41" t="str">
        <x:v>https://ror.org/00q09pe49</x:v>
      </x:c>
      <x:c r="X116" s="41"/>
      <x:c r="Y116" s="41" t="str">
        <x:v>https://doi.org/10.1002/solr.202500538; https://ror.org/00q09pe49</x:v>
      </x:c>
      <x:c r="Z116" s="41" t="str">
        <x:v>role; email; telephone; orcid; Google Scholar; OpenAlex; Scopus; Web of Science; personal website</x:v>
      </x:c>
      <x:c r="AA116" s="41" t="str">
        <x:v>Round-Robin Interlaboratory Comparison of Large-Area Organic Thin-Film and Perovskite Solar Cells</x:v>
      </x:c>
      <x:c r="AB116" s="41" t="str">
        <x:v>10.1002/solr.202500538</x:v>
      </x:c>
    </x:row>
    <x:row r="117">
      <x:c r="A117" s="41" t="str">
        <x:v>unsynced-tsaitsungyu</x:v>
      </x:c>
      <x:c r="B117" s="41" t="str">
        <x:v>Tsai, Tsung-Yu</x:v>
      </x:c>
      <x:c r="C117" s="41" t="str">
        <x:v>Tsung-Yu Tsai</x:v>
      </x:c>
      <x:c r="D117" s="41" t="str">
        <x:v>Tsai, Tsung-Yu; Tsung-Yu Tsai; T Y Tsai</x:v>
      </x:c>
      <x:c r="E117" s="41" t="str">
        <x:v>verified</x:v>
      </x:c>
      <x:c r="F117" s="41" t="str">
        <x:v>ORCID + DOI-constrained OpenAlex match</x:v>
      </x:c>
      <x:c r="G117" s="42" t="str">
        <x:v>1.0</x:v>
      </x:c>
      <x:c r="H117" s="41"/>
      <x:c r="I117" s="43" t="str">
        <x:v>1</x:v>
      </x:c>
      <x:c r="J117" s="43" t="str">
        <x:v>2025</x:v>
      </x:c>
      <x:c r="K117" s="43" t="str">
        <x:v>2025</x:v>
      </x:c>
      <x:c r="L117" s="41"/>
      <x:c r="M117" s="41"/>
      <x:c r="N117" s="41" t="str">
        <x:v>Department of Chemistry National Central University Taiwan</x:v>
      </x:c>
      <x:c r="O117" s="41"/>
      <x:c r="P117" s="41"/>
      <x:c r="Q117" s="41" t="str">
        <x:v>0000-0002-3387-3516</x:v>
      </x:c>
      <x:c r="R117" s="41"/>
      <x:c r="S117" s="41" t="str">
        <x:v>https://openalex.org/A5002357272</x:v>
      </x:c>
      <x:c r="T117" s="41"/>
      <x:c r="U117" s="41"/>
      <x:c r="V117" s="41"/>
      <x:c r="W117" s="41" t="str">
        <x:v>https://ror.org/00d80zx46</x:v>
      </x:c>
      <x:c r="X117" s="41"/>
      <x:c r="Y117" s="41" t="str">
        <x:v>https://openalex.org/A5002357272; https://orcid.org/0000-0002-3387-3516; https://doi.org/10.1002/solr.202500538; https://ror.org/00d80zx46</x:v>
      </x:c>
      <x:c r="Z117" s="41" t="str">
        <x:v>role; email; telephone; Google Scholar; Scopus; Web of Science; personal website</x:v>
      </x:c>
      <x:c r="AA117" s="41" t="str">
        <x:v>Round-Robin Interlaboratory Comparison of Large-Area Organic Thin-Film and Perovskite Solar Cells</x:v>
      </x:c>
      <x:c r="AB117" s="41" t="str">
        <x:v>10.1002/solr.202500538</x:v>
      </x:c>
    </x:row>
    <x:row r="118">
      <x:c r="A118" s="41" t="str">
        <x:v>unsynced-tsaiyuhsiang</x:v>
      </x:c>
      <x:c r="B118" s="41" t="str">
        <x:v>Tsai, Yu-Hsiang</x:v>
      </x:c>
      <x:c r="C118" s="41" t="str">
        <x:v>Yu-Hsiang Tsai</x:v>
      </x:c>
      <x:c r="D118" s="41" t="str">
        <x:v>Tsai, Yu-Hsiang; Yu-Hsiang Tsai</x:v>
      </x:c>
      <x:c r="E118" s="41" t="str">
        <x:v>verified</x:v>
      </x:c>
      <x:c r="F118" s="41" t="str">
        <x:v>DOI-constrained OpenAlex match</x:v>
      </x:c>
      <x:c r="G118" s="42" t="str">
        <x:v>1.0</x:v>
      </x:c>
      <x:c r="H118" s="41"/>
      <x:c r="I118" s="43" t="str">
        <x:v>1</x:v>
      </x:c>
      <x:c r="J118" s="43" t="str">
        <x:v>2022</x:v>
      </x:c>
      <x:c r="K118" s="43" t="str">
        <x:v>2022</x:v>
      </x:c>
      <x:c r="L118" s="41"/>
      <x:c r="M118" s="41"/>
      <x:c r="N118" s="41" t="str">
        <x:v>National Chiayi University</x:v>
      </x:c>
      <x:c r="O118" s="41"/>
      <x:c r="P118" s="41"/>
      <x:c r="Q118" s="41"/>
      <x:c r="R118" s="41"/>
      <x:c r="S118" s="41" t="str">
        <x:v>https://openalex.org/A5109959152</x:v>
      </x:c>
      <x:c r="T118" s="41"/>
      <x:c r="U118" s="41"/>
      <x:c r="V118" s="41"/>
      <x:c r="W118" s="41" t="str">
        <x:v>https://ror.org/04gknbs13</x:v>
      </x:c>
      <x:c r="X118" s="41"/>
      <x:c r="Y118" s="41" t="str">
        <x:v>https://openalex.org/A5109959152; https://doi.org/10.1016/j.cej.2021.131609; https://ror.org/04gknbs13</x:v>
      </x:c>
      <x:c r="Z118" s="41" t="str">
        <x:v>role; email; telephone; orcid; Google Scholar; Scopus; Web of Science; personal website</x:v>
      </x:c>
      <x:c r="AA118" s="41" t="str">
        <x:v>High-performance perovskite solar cells based on dopant-free hole-transporting material fabricated by a thermal-assisted blade-coating method with efficiency exceeding 21%</x:v>
      </x:c>
      <x:c r="AB118" s="41" t="str">
        <x:v>10.1016/j.cej.2021.131609</x:v>
      </x:c>
    </x:row>
    <x:row r="119">
      <x:c r="A119" s="41" t="str">
        <x:v>unsynced-tsengzongliang</x:v>
      </x:c>
      <x:c r="B119" s="41" t="str">
        <x:v>Tseng, Zong-Liang</x:v>
      </x:c>
      <x:c r="C119" s="41" t="str">
        <x:v>Zong-Liang Tseng</x:v>
      </x:c>
      <x:c r="D119" s="41" t="str">
        <x:v>Tseng, Zong-Liang; Zong-Liang Tseng; Z. L. Tseng</x:v>
      </x:c>
      <x:c r="E119" s="41" t="str">
        <x:v>verified</x:v>
      </x:c>
      <x:c r="F119" s="41" t="str">
        <x:v>ORCID + DOI-constrained OpenAlex match</x:v>
      </x:c>
      <x:c r="G119" s="42" t="str">
        <x:v>1.0</x:v>
      </x:c>
      <x:c r="H119" s="41"/>
      <x:c r="I119" s="43" t="str">
        <x:v>1</x:v>
      </x:c>
      <x:c r="J119" s="43" t="str">
        <x:v>2025</x:v>
      </x:c>
      <x:c r="K119" s="43" t="str">
        <x:v>2025</x:v>
      </x:c>
      <x:c r="L119" s="41"/>
      <x:c r="M119" s="41"/>
      <x:c r="N119" s="41" t="str">
        <x:v>Depatment of Electronic Engineering, Ming Chi University of Technology</x:v>
      </x:c>
      <x:c r="O119" s="41"/>
      <x:c r="P119" s="41"/>
      <x:c r="Q119" s="41" t="str">
        <x:v>0000-0002-8424-1914</x:v>
      </x:c>
      <x:c r="R119" s="41" t="str">
        <x:v>https://scholar.google.com/citations?user=WwB-K-YAAAAJ&amp;hl=zh-TW</x:v>
      </x:c>
      <x:c r="S119" s="41" t="str">
        <x:v>https://openalex.org/A5091777458</x:v>
      </x:c>
      <x:c r="T119" s="41"/>
      <x:c r="U119" s="41"/>
      <x:c r="V119" s="41"/>
      <x:c r="W119" s="41" t="str">
        <x:v>https://ror.org/04xgh4d03</x:v>
      </x:c>
      <x:c r="X119" s="41"/>
      <x:c r="Y119" s="41" t="str">
        <x:v>https://openalex.org/A5091777458; https://orcid.org/0000-0002-8424-1914; https://doi.org/10.1002/solr.202500538; https://ror.org/04xgh4d03</x:v>
      </x:c>
      <x:c r="Z119" s="41" t="str">
        <x:v>role; email; telephone; Scopus; Web of Science; personal website</x:v>
      </x:c>
      <x:c r="AA119" s="41" t="str">
        <x:v>Round-Robin Interlaboratory Comparison of Large-Area Organic Thin-Film and Perovskite Solar Cells</x:v>
      </x:c>
      <x:c r="AB119" s="41" t="str">
        <x:v>10.1002/solr.202500538</x:v>
      </x:c>
    </x:row>
    <x:row r="120">
      <x:c r="A120" s="41" t="str">
        <x:v>unsynced-tsuimengchin</x:v>
      </x:c>
      <x:c r="B120" s="41" t="str">
        <x:v>Tsui, Meng-Chin</x:v>
      </x:c>
      <x:c r="C120" s="41" t="str">
        <x:v>Meng-Chin Tsui</x:v>
      </x:c>
      <x:c r="D120" s="41" t="str">
        <x:v>Tsui, Meng-Chin; Meng-Chin Tsui</x:v>
      </x:c>
      <x:c r="E120" s="41" t="str">
        <x:v>verified</x:v>
      </x:c>
      <x:c r="F120" s="41" t="str">
        <x:v>DOI-constrained OpenAlex match</x:v>
      </x:c>
      <x:c r="G120" s="42" t="str">
        <x:v>1.0</x:v>
      </x:c>
      <x:c r="H120" s="41"/>
      <x:c r="I120" s="43" t="str">
        <x:v>1</x:v>
      </x:c>
      <x:c r="J120" s="43" t="str">
        <x:v>2009</x:v>
      </x:c>
      <x:c r="K120" s="43" t="str">
        <x:v>2009</x:v>
      </x:c>
      <x:c r="L120" s="41"/>
      <x:c r="M120" s="41"/>
      <x:c r="N120" s="41" t="str">
        <x:v>Industrial Technology Research Institute</x:v>
      </x:c>
      <x:c r="O120" s="41"/>
      <x:c r="P120" s="41"/>
      <x:c r="Q120" s="41"/>
      <x:c r="R120" s="41"/>
      <x:c r="S120" s="41" t="str">
        <x:v>https://openalex.org/A5071290260</x:v>
      </x:c>
      <x:c r="T120" s="41"/>
      <x:c r="U120" s="41"/>
      <x:c r="V120" s="41"/>
      <x:c r="W120" s="41" t="str">
        <x:v>https://ror.org/05szzwt63</x:v>
      </x:c>
      <x:c r="X120" s="41"/>
      <x:c r="Y120" s="41" t="str">
        <x:v>https://openalex.org/A5071290260; https://doi.org/10.1016/j.solmat.2009.07.017; https://ror.org/05szzwt63</x:v>
      </x:c>
      <x:c r="Z120" s="41" t="str">
        <x:v>role; email; telephone; orcid; Google Scholar; Scopus; Web of Science; personal website</x:v>
      </x:c>
      <x:c r="AA120" s="41" t="str">
        <x:v>Dye-sensitized solar cells with a micro-porous TiO2 electrode and gel polymer electrolytes prepared by in situ cross-link reaction</x:v>
      </x:c>
      <x:c r="AB120" s="41" t="str">
        <x:v>10.1016/j.solmat.2009.07.017</x:v>
      </x:c>
    </x:row>
    <x:row r="121">
      <x:c r="A121" s="41" t="str">
        <x:v>unsynced-tukunhua</x:v>
      </x:c>
      <x:c r="B121" s="41" t="str">
        <x:v>Tu, Kun-Hua</x:v>
      </x:c>
      <x:c r="C121" s="41" t="str">
        <x:v>Kun-Hua Tu</x:v>
      </x:c>
      <x:c r="D121" s="41" t="str">
        <x:v>Tu, Kun-Hua; Kun-Hua Tu; K. Tu; K.H. Tu</x:v>
      </x:c>
      <x:c r="E121" s="41" t="str">
        <x:v>verified</x:v>
      </x:c>
      <x:c r="F121" s="41" t="str">
        <x:v>ORCID + DOI-constrained OpenAlex match</x:v>
      </x:c>
      <x:c r="G121" s="42" t="str">
        <x:v>1.0</x:v>
      </x:c>
      <x:c r="H121" s="41"/>
      <x:c r="I121" s="43" t="str">
        <x:v>1</x:v>
      </x:c>
      <x:c r="J121" s="43" t="str">
        <x:v>2024</x:v>
      </x:c>
      <x:c r="K121" s="43" t="str">
        <x:v>2024</x:v>
      </x:c>
      <x:c r="L121" s="41" t="str">
        <x:v>Attending physician</x:v>
      </x:c>
      <x:c r="M121" s="41" t="str">
        <x:v>Attending physician</x:v>
      </x:c>
      <x:c r="N121" s="41" t="str">
        <x:v>Nephrology, Chang Gung University</x:v>
      </x:c>
      <x:c r="O121" s="41" t="str">
        <x:v>christopher.tu@gmail.com; 8902086@adm.cgmh.org.tw</x:v>
      </x:c>
      <x:c r="P121" s="41"/>
      <x:c r="Q121" s="41" t="str">
        <x:v>0000-0002-7146-4481</x:v>
      </x:c>
      <x:c r="R121" s="41"/>
      <x:c r="S121" s="41" t="str">
        <x:v>https://openalex.org/A5056020685</x:v>
      </x:c>
      <x:c r="T121" s="41"/>
      <x:c r="U121" s="41"/>
      <x:c r="V121" s="41"/>
      <x:c r="W121" s="41" t="str">
        <x:v>https://ror.org/00d80zx46</x:v>
      </x:c>
      <x:c r="X121" s="41"/>
      <x:c r="Y121" s="41" t="str">
        <x:v>https://openalex.org/A5056020685; https://orcid.org/0000-0002-7146-4481; https://doi.org/10.1016/j.jece.2023.111741; https://ror.org/00d80zx46</x:v>
      </x:c>
      <x:c r="Z121" s="41" t="str">
        <x:v>telephone; Google Scholar; Scopus; Web of Science; personal website</x:v>
      </x:c>
      <x:c r="AA121" s="41" t="str">
        <x:v>Additive-free electroless deposition on graphene/copper foil: Photo-induced and defect-assisted approach for environmentally friendly plating</x:v>
      </x:c>
      <x:c r="AB121" s="41" t="str">
        <x:v>10.1016/j.jece.2023.111741</x:v>
      </x:c>
    </x:row>
    <x:row r="122">
      <x:c r="A122" s="41" t="str">
        <x:v>unsynced-tungyungliang</x:v>
      </x:c>
      <x:c r="B122" s="41" t="str">
        <x:v>Tung, Yung-Liang</x:v>
      </x:c>
      <x:c r="C122" s="41" t="str">
        <x:v>Yung-Liang Tung</x:v>
      </x:c>
      <x:c r="D122" s="41" t="str">
        <x:v>Tung, Yung-Liang; Yung-Liang Tung</x:v>
      </x:c>
      <x:c r="E122" s="41" t="str">
        <x:v>verified</x:v>
      </x:c>
      <x:c r="F122" s="41" t="str">
        <x:v>DOI-constrained OpenAlex match</x:v>
      </x:c>
      <x:c r="G122" s="42" t="str">
        <x:v>1.0</x:v>
      </x:c>
      <x:c r="H122" s="41"/>
      <x:c r="I122" s="43" t="str">
        <x:v>1</x:v>
      </x:c>
      <x:c r="J122" s="43" t="str">
        <x:v>2009</x:v>
      </x:c>
      <x:c r="K122" s="43" t="str">
        <x:v>2009</x:v>
      </x:c>
      <x:c r="L122" s="41"/>
      <x:c r="M122" s="41"/>
      <x:c r="N122" s="41" t="str">
        <x:v>Industrial Technology Research Institute</x:v>
      </x:c>
      <x:c r="O122" s="41"/>
      <x:c r="P122" s="41"/>
      <x:c r="Q122" s="41"/>
      <x:c r="R122" s="41"/>
      <x:c r="S122" s="41" t="str">
        <x:v>https://openalex.org/A5110056189</x:v>
      </x:c>
      <x:c r="T122" s="41"/>
      <x:c r="U122" s="41"/>
      <x:c r="V122" s="41"/>
      <x:c r="W122" s="41" t="str">
        <x:v>https://ror.org/05szzwt63</x:v>
      </x:c>
      <x:c r="X122" s="41"/>
      <x:c r="Y122" s="41" t="str">
        <x:v>https://openalex.org/A5110056189; https://doi.org/10.1016/j.solmat.2009.07.017; https://ror.org/05szzwt63</x:v>
      </x:c>
      <x:c r="Z122" s="41" t="str">
        <x:v>role; email; telephone; orcid; Google Scholar; Scopus; Web of Science; personal website</x:v>
      </x:c>
      <x:c r="AA122" s="41" t="str">
        <x:v>Dye-sensitized solar cells with a micro-porous TiO2 electrode and gel polymer electrolytes prepared by in situ cross-link reaction</x:v>
      </x:c>
      <x:c r="AB122" s="41" t="str">
        <x:v>10.1016/j.solmat.2009.07.017</x:v>
      </x:c>
    </x:row>
    <x:row r="123">
      <x:c r="A123" s="41" t="str">
        <x:v>unsynced-wangchaoshian</x:v>
      </x:c>
      <x:c r="B123" s="41" t="str">
        <x:v>Wang, Chao-Shian</x:v>
      </x:c>
      <x:c r="C123" s="41" t="str">
        <x:v>Chao-Shian Wang</x:v>
      </x:c>
      <x:c r="D123" s="41" t="str">
        <x:v>Wang, Chao-Shian; Chao-Shian Wang</x:v>
      </x:c>
      <x:c r="E123" s="41" t="str">
        <x:v>verified</x:v>
      </x:c>
      <x:c r="F123" s="41" t="str">
        <x:v>DOI-constrained OpenAlex match</x:v>
      </x:c>
      <x:c r="G123" s="42" t="str">
        <x:v>1.0</x:v>
      </x:c>
      <x:c r="H123" s="41"/>
      <x:c r="I123" s="43" t="str">
        <x:v>1</x:v>
      </x:c>
      <x:c r="J123" s="43" t="str">
        <x:v>2022</x:v>
      </x:c>
      <x:c r="K123" s="43" t="str">
        <x:v>2022</x:v>
      </x:c>
      <x:c r="L123" s="41"/>
      <x:c r="M123" s="41"/>
      <x:c r="N123" s="41" t="str">
        <x:v>Soochow University</x:v>
      </x:c>
      <x:c r="O123" s="41"/>
      <x:c r="P123" s="41"/>
      <x:c r="Q123" s="41"/>
      <x:c r="R123" s="41"/>
      <x:c r="S123" s="41" t="str">
        <x:v>https://openalex.org/A5065479165</x:v>
      </x:c>
      <x:c r="T123" s="41"/>
      <x:c r="U123" s="41"/>
      <x:c r="V123" s="41"/>
      <x:c r="W123" s="41" t="str">
        <x:v>https://ror.org/05kvm7n82</x:v>
      </x:c>
      <x:c r="X123" s="41"/>
      <x:c r="Y123" s="41" t="str">
        <x:v>https://openalex.org/A5065479165; https://doi.org/10.1016/j.cej.2021.131609; https://ror.org/05kvm7n82</x:v>
      </x:c>
      <x:c r="Z123" s="41" t="str">
        <x:v>role; email; telephone; orcid; Google Scholar; Scopus; Web of Science; personal website</x:v>
      </x:c>
      <x:c r="AA123" s="41" t="str">
        <x:v>High-performance perovskite solar cells based on dopant-free hole-transporting material fabricated by a thermal-assisted blade-coating method with efficiency exceeding 21%</x:v>
      </x:c>
      <x:c r="AB123" s="41" t="str">
        <x:v>10.1016/j.cej.2021.131609</x:v>
      </x:c>
    </x:row>
    <x:row r="124">
      <x:c r="A124" s="41" t="str">
        <x:v>unsynced-wangchihliang</x:v>
      </x:c>
      <x:c r="B124" s="41" t="str">
        <x:v>Wang, Chih-Liang</x:v>
      </x:c>
      <x:c r="C124" s="41" t="str">
        <x:v>Chih-Liang Wang</x:v>
      </x:c>
      <x:c r="D124" s="41" t="str">
        <x:v>Wang, Chih-Liang; Chih-Liang Wang; Wang, C. L.</x:v>
      </x:c>
      <x:c r="E124" s="41" t="str">
        <x:v>verified</x:v>
      </x:c>
      <x:c r="F124" s="41" t="str">
        <x:v>ORCID + DOI-constrained OpenAlex match</x:v>
      </x:c>
      <x:c r="G124" s="42" t="str">
        <x:v>1.0</x:v>
      </x:c>
      <x:c r="H124" s="41"/>
      <x:c r="I124" s="43" t="str">
        <x:v>1</x:v>
      </x:c>
      <x:c r="J124" s="43" t="str">
        <x:v>2025</x:v>
      </x:c>
      <x:c r="K124" s="43" t="str">
        <x:v>2025</x:v>
      </x:c>
      <x:c r="L124" s="41" t="str">
        <x:v>Associate Professor</x:v>
      </x:c>
      <x:c r="M124" s="41" t="str">
        <x:v>Associate Professor</x:v>
      </x:c>
      <x:c r="N124" s="41" t="str">
        <x:v>Department of Materials Science and Engineering, National Tsing Hua University</x:v>
      </x:c>
      <x:c r="O124" s="41"/>
      <x:c r="P124" s="41"/>
      <x:c r="Q124" s="41" t="str">
        <x:v>0000-0002-0772-4285</x:v>
      </x:c>
      <x:c r="R124" s="41"/>
      <x:c r="S124" s="41" t="str">
        <x:v>https://openalex.org/A5023583881</x:v>
      </x:c>
      <x:c r="T124" s="41"/>
      <x:c r="U124" s="41" t="str">
        <x:v>https://www.scopus.com/authid/detail.uri?authorId=55913946100</x:v>
      </x:c>
      <x:c r="V124" s="41" t="str">
        <x:v>http://www.researcherid.com/rid/N-3676-2013</x:v>
      </x:c>
      <x:c r="W124" s="41" t="str">
        <x:v>https://ror.org/00zdnkx70</x:v>
      </x:c>
      <x:c r="X124" s="41" t="str">
        <x:v>https://wangcl.wixsite.com/e-lab</x:v>
      </x:c>
      <x:c r="Y124" s="41" t="str">
        <x:v>https://openalex.org/A5023583881; https://orcid.org/0000-0002-0772-4285; https://doi.org/10.1002/solr.202500538; https://ror.org/00zdnkx70; https://wangcl.wixsite.com/e-lab</x:v>
      </x:c>
      <x:c r="Z124" s="41" t="str">
        <x:v>email; telephone; Google Scholar</x:v>
      </x:c>
      <x:c r="AA124" s="41" t="str">
        <x:v>Round-Robin Interlaboratory Comparison of Large-Area Organic Thin-Film and Perovskite Solar Cells</x:v>
      </x:c>
      <x:c r="AB124" s="41" t="str">
        <x:v>10.1002/solr.202500538</x:v>
      </x:c>
    </x:row>
    <x:row r="125">
      <x:c r="A125" s="41" t="str">
        <x:v>unsynced-wangleeyih</x:v>
      </x:c>
      <x:c r="B125" s="41" t="str">
        <x:v>Wang, Leeyih</x:v>
      </x:c>
      <x:c r="C125" s="41" t="str">
        <x:v>Leeyih Wang</x:v>
      </x:c>
      <x:c r="D125" s="41" t="str">
        <x:v>Wang, Leeyih; Leeyih Wang</x:v>
      </x:c>
      <x:c r="E125" s="41" t="str">
        <x:v>verified</x:v>
      </x:c>
      <x:c r="F125" s="41" t="str">
        <x:v>ORCID + DOI-constrained OpenAlex match</x:v>
      </x:c>
      <x:c r="G125" s="42" t="str">
        <x:v>1.0</x:v>
      </x:c>
      <x:c r="H125" s="41"/>
      <x:c r="I125" s="43" t="str">
        <x:v>1</x:v>
      </x:c>
      <x:c r="J125" s="43" t="str">
        <x:v>2025</x:v>
      </x:c>
      <x:c r="K125" s="43" t="str">
        <x:v>2025</x:v>
      </x:c>
      <x:c r="L125" s="41"/>
      <x:c r="M125" s="41"/>
      <x:c r="N125" s="41" t="str">
        <x:v>Center for Condensed Matter Sciences, National Taiwan University</x:v>
      </x:c>
      <x:c r="O125" s="41"/>
      <x:c r="P125" s="41"/>
      <x:c r="Q125" s="41" t="str">
        <x:v>0000-0002-6368-0141</x:v>
      </x:c>
      <x:c r="R125" s="41"/>
      <x:c r="S125" s="41" t="str">
        <x:v>https://openalex.org/A5021834293</x:v>
      </x:c>
      <x:c r="T125" s="41"/>
      <x:c r="U125" s="41"/>
      <x:c r="V125" s="41"/>
      <x:c r="W125" s="41" t="str">
        <x:v>https://ror.org/059dkdx38</x:v>
      </x:c>
      <x:c r="X125" s="41"/>
      <x:c r="Y125" s="41" t="str">
        <x:v>https://openalex.org/A5021834293; https://orcid.org/0000-0002-6368-0141; https://doi.org/10.1002/solr.202500538; https://ror.org/059dkdx38</x:v>
      </x:c>
      <x:c r="Z125" s="41" t="str">
        <x:v>role; email; telephone; Google Scholar; Scopus; Web of Science; personal website</x:v>
      </x:c>
      <x:c r="AA125" s="41" t="str">
        <x:v>Round-Robin Interlaboratory Comparison of Large-Area Organic Thin-Film and Perovskite Solar Cells</x:v>
      </x:c>
      <x:c r="AB125" s="41" t="str">
        <x:v>10.1002/solr.202500538</x:v>
      </x:c>
    </x:row>
    <x:row r="126">
      <x:c r="A126" s="41" t="str">
        <x:v>unsynced-wangpeiling</x:v>
      </x:c>
      <x:c r="B126" s="41" t="str">
        <x:v>Wang, Pei-Ling</x:v>
      </x:c>
      <x:c r="C126" s="41" t="str">
        <x:v>Pei-Ling Wang</x:v>
      </x:c>
      <x:c r="D126" s="41" t="str">
        <x:v>Wang, Pei-Ling; Pei-Ling Wang; P.-L. Wang</x:v>
      </x:c>
      <x:c r="E126" s="41" t="str">
        <x:v>verified</x:v>
      </x:c>
      <x:c r="F126" s="41" t="str">
        <x:v>ORCID + DOI-constrained OpenAlex match</x:v>
      </x:c>
      <x:c r="G126" s="42" t="str">
        <x:v>1.0</x:v>
      </x:c>
      <x:c r="H126" s="41"/>
      <x:c r="I126" s="43" t="str">
        <x:v>1</x:v>
      </x:c>
      <x:c r="J126" s="43" t="str">
        <x:v>2025</x:v>
      </x:c>
      <x:c r="K126" s="43" t="str">
        <x:v>2025</x:v>
      </x:c>
      <x:c r="L126" s="41"/>
      <x:c r="M126" s="41"/>
      <x:c r="N126" s="41" t="str">
        <x:v>Department of Chemical Engineering National Taiwan University of Science and Technology Taipei Taiwan</x:v>
      </x:c>
      <x:c r="O126" s="41"/>
      <x:c r="P126" s="41"/>
      <x:c r="Q126" s="41" t="str">
        <x:v>0000-0002-4392-3935</x:v>
      </x:c>
      <x:c r="R126" s="41"/>
      <x:c r="S126" s="41" t="str">
        <x:v>https://openalex.org/A5046804162</x:v>
      </x:c>
      <x:c r="T126" s="41"/>
      <x:c r="U126" s="41" t="str">
        <x:v>https://www.scopus.com/authid/detail.uri?authorId=55718418500</x:v>
      </x:c>
      <x:c r="V126" s="41"/>
      <x:c r="W126" s="41" t="str">
        <x:v>https://scholars.lib.ntu.edu.tw/cris/rp/rp07959</x:v>
      </x:c>
      <x:c r="X126" s="41"/>
      <x:c r="Y126" s="41" t="str">
        <x:v>https://openalex.org/A5046804162; https://orcid.org/0000-0002-4392-3935; https://doi.org/10.1002/solr.202500538; https://scholars.lib.ntu.edu.tw/cris/rp/rp07959</x:v>
      </x:c>
      <x:c r="Z126" s="41" t="str">
        <x:v>role; email; telephone; Google Scholar; Web of Science; personal website</x:v>
      </x:c>
      <x:c r="AA126" s="41" t="str">
        <x:v>Round-Robin Interlaboratory Comparison of Large-Area Organic Thin-Film and Perovskite Solar Cells</x:v>
      </x:c>
      <x:c r="AB126" s="41" t="str">
        <x:v>10.1002/solr.202500538</x:v>
      </x:c>
    </x:row>
    <x:row r="127">
      <x:c r="A127" s="41" t="str">
        <x:v>unsynced-wangzhewei</x:v>
      </x:c>
      <x:c r="B127" s="41" t="str">
        <x:v>Wang, Zhe-Wei</x:v>
      </x:c>
      <x:c r="C127" s="41" t="str">
        <x:v>Zhe-Wei Wang</x:v>
      </x:c>
      <x:c r="D127" s="41" t="str">
        <x:v>Wang, Zhe-Wei; Zhe-Wei Wang</x:v>
      </x:c>
      <x:c r="E127" s="41" t="str">
        <x:v>verified</x:v>
      </x:c>
      <x:c r="F127" s="41" t="str">
        <x:v>DOI-constrained OpenAlex match</x:v>
      </x:c>
      <x:c r="G127" s="42" t="str">
        <x:v>1.0</x:v>
      </x:c>
      <x:c r="H127" s="41"/>
      <x:c r="I127" s="43" t="str">
        <x:v>1</x:v>
      </x:c>
      <x:c r="J127" s="43" t="str">
        <x:v>2025</x:v>
      </x:c>
      <x:c r="K127" s="43" t="str">
        <x:v>2025</x:v>
      </x:c>
      <x:c r="L127" s="41"/>
      <x:c r="M127" s="41"/>
      <x:c r="N127" s="41" t="str">
        <x:v>Department of Chemistry Soochow University Taipei 11102 Taiwan</x:v>
      </x:c>
      <x:c r="O127" s="41"/>
      <x:c r="P127" s="41"/>
      <x:c r="Q127" s="41"/>
      <x:c r="R127" s="41"/>
      <x:c r="S127" s="41" t="str">
        <x:v>https://openalex.org/A5111612323</x:v>
      </x:c>
      <x:c r="T127" s="41"/>
      <x:c r="U127" s="41"/>
      <x:c r="V127" s="41"/>
      <x:c r="W127" s="41" t="str">
        <x:v>https://ror.org/05kvm7n82</x:v>
      </x:c>
      <x:c r="X127" s="41"/>
      <x:c r="Y127" s="41" t="str">
        <x:v>https://openalex.org/A5111612323; https://doi.org/10.1002/asia.202500719; https://ror.org/05kvm7n82</x:v>
      </x:c>
      <x:c r="Z127" s="41" t="str">
        <x:v>role; email; telephone; orcid; Google Scholar; Scopus; Web of Science; personal website</x:v>
      </x:c>
      <x:c r="AA127" s="41" t="str">
        <x:v>Asymmetric Fluorinated Cyclopenta [2, 1‐b: 3, 4‐b'] Dithiophene‐Based Hole‐Transporting Materials for Perovskite Solar Cell</x:v>
      </x:c>
      <x:c r="AB127" s="41" t="str">
        <x:v>10.1002/asia.202500719</x:v>
      </x:c>
    </x:row>
    <x:row r="128">
      <x:c r="A128" s="41" t="str">
        <x:v>unsynced-weihungyu</x:v>
      </x:c>
      <x:c r="B128" s="41" t="str">
        <x:v>Wei, Hung-Yu</x:v>
      </x:c>
      <x:c r="C128" s="41" t="str">
        <x:v>Hung-Yu Wei</x:v>
      </x:c>
      <x:c r="D128" s="41" t="str">
        <x:v>Wei, Hung-Yu; Hung-Yu Wei</x:v>
      </x:c>
      <x:c r="E128" s="41" t="str">
        <x:v>verified</x:v>
      </x:c>
      <x:c r="F128" s="41" t="str">
        <x:v>ORCID + DOI-constrained OpenAlex match</x:v>
      </x:c>
      <x:c r="G128" s="42" t="str">
        <x:v>1.0</x:v>
      </x:c>
      <x:c r="H128" s="41"/>
      <x:c r="I128" s="43" t="str">
        <x:v>1</x:v>
      </x:c>
      <x:c r="J128" s="43" t="str">
        <x:v>2010</x:v>
      </x:c>
      <x:c r="K128" s="43" t="str">
        <x:v>2010</x:v>
      </x:c>
      <x:c r="L128" s="41" t="str">
        <x:v>Professor</x:v>
      </x:c>
      <x:c r="M128" s="41" t="str">
        <x:v>Professor</x:v>
      </x:c>
      <x:c r="N128" s="41" t="str">
        <x:v>Dept. of Electrical Engineering, National Taiwan University</x:v>
      </x:c>
      <x:c r="O128" s="41"/>
      <x:c r="P128" s="41"/>
      <x:c r="Q128" s="41" t="str">
        <x:v>0000-0002-3116-306X</x:v>
      </x:c>
      <x:c r="R128" s="41" t="str">
        <x:v>https://scholar.google.com/citations?user=a7tj-HgAAAAJ&amp;hl=zh-TW</x:v>
      </x:c>
      <x:c r="S128" s="41" t="str">
        <x:v>https://openalex.org/A5045339787</x:v>
      </x:c>
      <x:c r="T128" s="41"/>
      <x:c r="U128" s="41" t="str">
        <x:v>https://www.scopus.com/authid/detail.uri?authorId=7402517097</x:v>
      </x:c>
      <x:c r="V128" s="41"/>
      <x:c r="W128" s="41" t="str">
        <x:v>https://ror.org/05bqach95</x:v>
      </x:c>
      <x:c r="X128" s="41" t="str">
        <x:v>https://www.ee.ntu.edu.tw/publist1.php?teacher_id=675</x:v>
      </x:c>
      <x:c r="Y128" s="41" t="str">
        <x:v>https://openalex.org/A5045339787; https://orcid.org/0000-0002-3116-306X; https://doi.org/10.1016/j.tsf.2009.11.058; https://ror.org/05bqach95; https://www.ee.ntu.edu.tw/publist1.php?teacher_id=675</x:v>
      </x:c>
      <x:c r="Z128" s="41" t="str">
        <x:v>email; telephone; Web of Science</x:v>
      </x:c>
      <x:c r="AA128" s="41" t="str">
        <x:v>Effects of mesoscopic poly (3, 4-ethylenedioxythiophene) films as counter electrodes for dye-sensitized solar cells</x:v>
      </x:c>
      <x:c r="AB128" s="41" t="str">
        <x:v>10.1016/j.tsf.2009.11.058</x:v>
      </x:c>
    </x:row>
    <x:row r="129">
      <x:c r="A129" s="41" t="str">
        <x:v>unsynced-wuyichen</x:v>
      </x:c>
      <x:c r="B129" s="41" t="str">
        <x:v>Wu, Yi-Chen</x:v>
      </x:c>
      <x:c r="C129" s="41" t="str">
        <x:v>Yi-Chen Wu</x:v>
      </x:c>
      <x:c r="D129" s="41" t="str">
        <x:v>Wu, Yi-Chen; Yi-Chen Wu; Y. Wu</x:v>
      </x:c>
      <x:c r="E129" s="41" t="str">
        <x:v>verified</x:v>
      </x:c>
      <x:c r="F129" s="41" t="str">
        <x:v>ORCID + DOI-constrained OpenAlex match</x:v>
      </x:c>
      <x:c r="G129" s="42" t="str">
        <x:v>1.0</x:v>
      </x:c>
      <x:c r="H129" s="41"/>
      <x:c r="I129" s="43" t="str">
        <x:v>1</x:v>
      </x:c>
      <x:c r="J129" s="43" t="str">
        <x:v>2023</x:v>
      </x:c>
      <x:c r="K129" s="43" t="str">
        <x:v>2023</x:v>
      </x:c>
      <x:c r="L129" s="41"/>
      <x:c r="M129" s="41"/>
      <x:c r="N129" s="41" t="str">
        <x:v>Providence University; Providence College</x:v>
      </x:c>
      <x:c r="O129" s="41"/>
      <x:c r="P129" s="41"/>
      <x:c r="Q129" s="41" t="str">
        <x:v>0000-0002-1857-9810</x:v>
      </x:c>
      <x:c r="R129" s="41"/>
      <x:c r="S129" s="41" t="str">
        <x:v>https://openalex.org/A5028985032</x:v>
      </x:c>
      <x:c r="T129" s="41"/>
      <x:c r="U129" s="41"/>
      <x:c r="V129" s="41"/>
      <x:c r="W129" s="41" t="str">
        <x:v>https://ror.org/03fcpsq87</x:v>
      </x:c>
      <x:c r="X129" s="41"/>
      <x:c r="Y129" s="41" t="str">
        <x:v>https://openalex.org/A5028985032; https://orcid.org/0000-0002-1857-9810; https://doi.org/10.1016/j.jpowsour.2023.233496; https://ror.org/03fcpsq87</x:v>
      </x:c>
      <x:c r="Z129" s="41" t="str">
        <x:v>role; email; telephone; Google Scholar; Scopus; Web of Science; personal website</x:v>
      </x:c>
      <x:c r="AA129" s="41" t="str">
        <x:v>Ladder-type dihydronaphtho [1, 2, 3, 4-rst] pentaphene as building block to construct hole-transporting materials for perovskite solar cells</x:v>
      </x:c>
      <x:c r="AB129" s="41" t="str">
        <x:v>10.1016/j.jpowsour.2023.233496</x:v>
      </x:c>
    </x:row>
    <x:row r="130">
      <x:c r="A130" s="41" t="str">
        <x:v>unsynced-yangtingyu</x:v>
      </x:c>
      <x:c r="B130" s="41" t="str">
        <x:v>Yang, Ting-Yu</x:v>
      </x:c>
      <x:c r="C130" s="41" t="str">
        <x:v>Ting-Yu Yang</x:v>
      </x:c>
      <x:c r="D130" s="41" t="str">
        <x:v>Yang, Ting-Yu; Ting-Yu Yang; T Y YANG; T. Yang</x:v>
      </x:c>
      <x:c r="E130" s="41" t="str">
        <x:v>verified</x:v>
      </x:c>
      <x:c r="F130" s="41" t="str">
        <x:v>ORCID + DOI-constrained OpenAlex match</x:v>
      </x:c>
      <x:c r="G130" s="42" t="str">
        <x:v>1.0</x:v>
      </x:c>
      <x:c r="H130" s="41"/>
      <x:c r="I130" s="43" t="str">
        <x:v>1</x:v>
      </x:c>
      <x:c r="J130" s="43" t="str">
        <x:v>2025</x:v>
      </x:c>
      <x:c r="K130" s="43" t="str">
        <x:v>2025</x:v>
      </x:c>
      <x:c r="L130" s="41"/>
      <x:c r="M130" s="41"/>
      <x:c r="N130" s="41" t="str">
        <x:v>Department of Chemistry Soochow University Taipei 11102 Taiwan</x:v>
      </x:c>
      <x:c r="O130" s="41"/>
      <x:c r="P130" s="41"/>
      <x:c r="Q130" s="41" t="str">
        <x:v>0000-0003-1253-685X</x:v>
      </x:c>
      <x:c r="R130" s="41"/>
      <x:c r="S130" s="41" t="str">
        <x:v>https://openalex.org/A5012152145</x:v>
      </x:c>
      <x:c r="T130" s="41"/>
      <x:c r="U130" s="41" t="str">
        <x:v>https://www.scopus.com/authid/detail.uri?authorId=57222482444</x:v>
      </x:c>
      <x:c r="V130" s="41"/>
      <x:c r="W130" s="41" t="str">
        <x:v>https://ror.org/05k3sdc46</x:v>
      </x:c>
      <x:c r="X130" s="41"/>
      <x:c r="Y130" s="41" t="str">
        <x:v>https://openalex.org/A5012152145; https://orcid.org/0000-0003-1253-685X; https://doi.org/10.1002/advs.202410666; https://ror.org/05k3sdc46</x:v>
      </x:c>
      <x:c r="Z130" s="41" t="str">
        <x:v>role; email; telephone; Google Scholar; Web of Science; personal website</x:v>
      </x:c>
      <x:c r="AA130" s="41" t="str">
        <x:v>Judicious Molecular Design of 5H‑Dithieno[3,2‑b:2′,3′‑d]Pyran-based Hole-Transporting Materials for Highly Efficient and Stable Perovskite Solar Cells</x:v>
      </x:c>
      <x:c r="AB130" s="41" t="str">
        <x:v>10.1002/advs.202410666</x:v>
      </x:c>
    </x:row>
    <x:row r="131">
      <x:c r="A131" s="41" t="str">
        <x:v>unsynced-yenwenhsiang</x:v>
      </x:c>
      <x:c r="B131" s="41" t="str">
        <x:v>Yen, Wen-Hsiang</x:v>
      </x:c>
      <x:c r="C131" s="41" t="str">
        <x:v>Wen-Hsiang Yen</x:v>
      </x:c>
      <x:c r="D131" s="41" t="str">
        <x:v>Yen, Wen-Hsiang; Wen-Hsiang Yen</x:v>
      </x:c>
      <x:c r="E131" s="41" t="str">
        <x:v>verified</x:v>
      </x:c>
      <x:c r="F131" s="41" t="str">
        <x:v>DOI-constrained OpenAlex match</x:v>
      </x:c>
      <x:c r="G131" s="42" t="str">
        <x:v>1.0</x:v>
      </x:c>
      <x:c r="H131" s="41"/>
      <x:c r="I131" s="43" t="str">
        <x:v>1</x:v>
      </x:c>
      <x:c r="J131" s="43" t="str">
        <x:v>2010</x:v>
      </x:c>
      <x:c r="K131" s="43" t="str">
        <x:v>2010</x:v>
      </x:c>
      <x:c r="L131" s="41"/>
      <x:c r="M131" s="41"/>
      <x:c r="N131" s="41" t="str">
        <x:v>Industrial Technology Research Institute</x:v>
      </x:c>
      <x:c r="O131" s="41"/>
      <x:c r="P131" s="41"/>
      <x:c r="Q131" s="41"/>
      <x:c r="R131" s="41"/>
      <x:c r="S131" s="41" t="str">
        <x:v>https://openalex.org/A5012093855</x:v>
      </x:c>
      <x:c r="T131" s="41"/>
      <x:c r="U131" s="41"/>
      <x:c r="V131" s="41"/>
      <x:c r="W131" s="41" t="str">
        <x:v>https://ror.org/05szzwt63</x:v>
      </x:c>
      <x:c r="X131" s="41"/>
      <x:c r="Y131" s="41" t="str">
        <x:v>https://openalex.org/A5012093855; https://doi.org/10.1016/j.electacta.2010.07.061; https://ror.org/05szzwt63</x:v>
      </x:c>
      <x:c r="Z131" s="41" t="str">
        <x:v>role; email; telephone; orcid; Google Scholar; Scopus; Web of Science; personal website</x:v>
      </x:c>
      <x:c r="AA131" s="41" t="str">
        <x:v>The influence of tetrapod-like ZnO morphology and electrolytes on energy conversion efficiency of dye-sensitized solar cells</x:v>
      </x:c>
      <x:c r="AB131" s="41" t="str">
        <x:v>10.1016/j.electacta.2010.07.061</x:v>
      </x:c>
    </x:row>
    <x:row r="132">
      <x:c r="A132" s="41" t="str">
        <x:v>unsynced-yuhaowei</x:v>
      </x:c>
      <x:c r="B132" s="41" t="str">
        <x:v>Yu, Hao-Wei</x:v>
      </x:c>
      <x:c r="C132" s="41" t="str">
        <x:v>Hao-Wei Yu</x:v>
      </x:c>
      <x:c r="D132" s="41" t="str">
        <x:v>Yu, Hao-Wei; Hao-Wei Yu</x:v>
      </x:c>
      <x:c r="E132" s="41" t="str">
        <x:v>verified</x:v>
      </x:c>
      <x:c r="F132" s="41" t="str">
        <x:v>DOI-constrained OpenAlex match</x:v>
      </x:c>
      <x:c r="G132" s="42" t="str">
        <x:v>1.0</x:v>
      </x:c>
      <x:c r="H132" s="41"/>
      <x:c r="I132" s="43" t="str">
        <x:v>1</x:v>
      </x:c>
      <x:c r="J132" s="43" t="str">
        <x:v>2025</x:v>
      </x:c>
      <x:c r="K132" s="43" t="str">
        <x:v>2025</x:v>
      </x:c>
      <x:c r="L132" s="41"/>
      <x:c r="M132" s="41"/>
      <x:c r="N132" s="41" t="str">
        <x:v>Department of Chemical Engineering National Taiwan University Taipei Taiwan</x:v>
      </x:c>
      <x:c r="O132" s="41"/>
      <x:c r="P132" s="41"/>
      <x:c r="Q132" s="41"/>
      <x:c r="R132" s="41"/>
      <x:c r="S132" s="41" t="str">
        <x:v>https://openalex.org/A5111199242</x:v>
      </x:c>
      <x:c r="T132" s="41"/>
      <x:c r="U132" s="41"/>
      <x:c r="V132" s="41"/>
      <x:c r="W132" s="41" t="str">
        <x:v>https://ror.org/05bqach95</x:v>
      </x:c>
      <x:c r="X132" s="41"/>
      <x:c r="Y132" s="41" t="str">
        <x:v>https://openalex.org/A5111199242; https://doi.org/10.1002/solr.202500538; https://ror.org/05bqach95</x:v>
      </x:c>
      <x:c r="Z132" s="41" t="str">
        <x:v>role; email; telephone; orcid; Google Scholar; Scopus; Web of Science; personal website</x:v>
      </x:c>
      <x:c r="AA132" s="41" t="str">
        <x:v>Round-Robin Interlaboratory Comparison of Large-Area Organic Thin-Film and Perovskite Solar Cells</x:v>
      </x:c>
      <x:c r="AB132" s="41" t="str">
        <x:v>10.1002/solr.202500538</x:v>
      </x:c>
    </x:row>
    <x:row r="133">
      <x:c r="A133" s="41" t="str">
        <x:v>unsynced-zhangyucheng</x:v>
      </x:c>
      <x:c r="B133" s="41" t="str">
        <x:v>Zhang, Yu-Cheng</x:v>
      </x:c>
      <x:c r="C133" s="41" t="str">
        <x:v>Yu-Cheng Zhang</x:v>
      </x:c>
      <x:c r="D133" s="41" t="str">
        <x:v>Zhang, Yu-Cheng; Yu-Cheng Zhang</x:v>
      </x:c>
      <x:c r="E133" s="41" t="str">
        <x:v>verified</x:v>
      </x:c>
      <x:c r="F133" s="41" t="str">
        <x:v>DOI-constrained OpenAlex match</x:v>
      </x:c>
      <x:c r="G133" s="42" t="str">
        <x:v>1.0</x:v>
      </x:c>
      <x:c r="H133" s="41"/>
      <x:c r="I133" s="43" t="str">
        <x:v>1</x:v>
      </x:c>
      <x:c r="J133" s="43" t="str">
        <x:v>2025</x:v>
      </x:c>
      <x:c r="K133" s="43" t="str">
        <x:v>2025</x:v>
      </x:c>
      <x:c r="L133" s="41"/>
      <x:c r="M133" s="41"/>
      <x:c r="N133" s="41" t="str">
        <x:v>Organic Electronics Research Center Ming Chi University of Technology New Taipei City Taiwan</x:v>
      </x:c>
      <x:c r="O133" s="41"/>
      <x:c r="P133" s="41"/>
      <x:c r="Q133" s="41"/>
      <x:c r="R133" s="41"/>
      <x:c r="S133" s="41" t="str">
        <x:v>https://openalex.org/A5014323381</x:v>
      </x:c>
      <x:c r="T133" s="41"/>
      <x:c r="U133" s="41"/>
      <x:c r="V133" s="41"/>
      <x:c r="W133" s="41" t="str">
        <x:v>https://ror.org/04xgh4d03</x:v>
      </x:c>
      <x:c r="X133" s="41"/>
      <x:c r="Y133" s="41" t="str">
        <x:v>https://openalex.org/A5014323381; https://doi.org/10.1002/solr.202500538; https://ror.org/04xgh4d03</x:v>
      </x:c>
      <x:c r="Z133" s="41" t="str">
        <x:v>role; email; telephone; orcid; Google Scholar; Scopus; Web of Science; personal website</x:v>
      </x:c>
      <x:c r="AA133" s="41" t="str">
        <x:v>Round-Robin Interlaboratory Comparison of Large-Area Organic Thin-Film and Perovskite Solar Cells</x:v>
      </x:c>
      <x:c r="AB133" s="41" t="str">
        <x:v>10.1002/solr.202500538</x:v>
      </x:c>
    </x:row>
    <x:row r="134">
      <x:c r="A134" s="44" t="str">
        <x:v>unsynced-zhuangchenghan</x:v>
      </x:c>
      <x:c r="B134" s="44" t="str">
        <x:v>Zhuang, Cheng-Han</x:v>
      </x:c>
      <x:c r="C134" s="44" t="str">
        <x:v>Cheng-Han Zhuang</x:v>
      </x:c>
      <x:c r="D134" s="44" t="str">
        <x:v>Zhuang, Cheng-Han; Cheng-Han Zhuang</x:v>
      </x:c>
      <x:c r="E134" s="44" t="str">
        <x:v>verified</x:v>
      </x:c>
      <x:c r="F134" s="44" t="str">
        <x:v>DOI-constrained OpenAlex match</x:v>
      </x:c>
      <x:c r="G134" s="45" t="str">
        <x:v>1.0</x:v>
      </x:c>
      <x:c r="H134" s="44"/>
      <x:c r="I134" s="46" t="str">
        <x:v>1</x:v>
      </x:c>
      <x:c r="J134" s="46" t="str">
        <x:v>2021</x:v>
      </x:c>
      <x:c r="K134" s="46" t="str">
        <x:v>2021</x:v>
      </x:c>
      <x:c r="L134" s="44"/>
      <x:c r="M134" s="44"/>
      <x:c r="N134" s="44" t="str">
        <x:v>Department of Fiber and Composite Materials, Feng Chia University, Taichung 40724, Taiwan</x:v>
      </x:c>
      <x:c r="O134" s="44"/>
      <x:c r="P134" s="44"/>
      <x:c r="Q134" s="44"/>
      <x:c r="R134" s="44"/>
      <x:c r="S134" s="44" t="str">
        <x:v>https://openalex.org/A5005069594</x:v>
      </x:c>
      <x:c r="T134" s="44"/>
      <x:c r="U134" s="44"/>
      <x:c r="V134" s="44"/>
      <x:c r="W134" s="44" t="str">
        <x:v>https://ror.org/05vhczg54</x:v>
      </x:c>
      <x:c r="X134" s="44"/>
      <x:c r="Y134" s="44" t="str">
        <x:v>https://openalex.org/A5005069594; https://doi.org/10.3390/polym13234246; https://ror.org/05vhczg54</x:v>
      </x:c>
      <x:c r="Z134" s="44" t="str">
        <x:v>role; email; telephone; orcid; Google Scholar; Scopus; Web of Science; personal website</x:v>
      </x:c>
      <x:c r="AA134" s="44" t="str">
        <x:v>Microstructure and Biological Properties of Electrospun In Situ Polymerization of Polycaprolactone-Graft-Polyacrylic Acid Nanofibers and Its Composite Nanofiber Dressings</x:v>
      </x:c>
      <x:c r="AB134" s="44" t="str">
        <x:v>10.3390/polym13234246</x:v>
      </x:c>
    </x:row>
  </x:sheetData>
  <x:conditionalFormatting sqref="E2:E134">
    <x:cfRule type="containsText" dxfId="0" priority="1" operator="containsText" text="verified"/>
  </x:conditionalFormatting>
  <x:conditionalFormatting sqref="H2:H134">
    <x:cfRule type="notContainsBlanks" dxfId="1" priority="2"/>
  </x:conditionalFormatting>
  <x:conditionalFormatting sqref="Z2:Z134">
    <x:cfRule type="notContainsBlanks" dxfId="2" priority="3"/>
  </x:conditionalFormatting>
  <x:pageMargins left="0.7" right="0.7" top="0.75" bottom="0.75" header="0.3" footer="0.3"/>
  <x:tableParts count="1">
    <x:tablePart xmlns:r="http://schemas.openxmlformats.org/officeDocument/2006/relationships" r:id="Ra409728b180e434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3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8" customHeight="1">
      <x:c r="A1" s="218" t="str">
        <x:v>Publication Author Research Audit</x:v>
      </x:c>
      <x:c r="B1" s="218"/>
      <x:c r="C1" s="218"/>
      <x:c r="D1" s="218"/>
      <x:c r="E1" s="218"/>
      <x:c r="F1" s="218"/>
    </x:row>
    <x:row r="2" ht="25" customHeight="1">
      <x:c r="A2" s="219" t="str">
        <x:v>Generated 2026-07-23 · Identity matching constrained by the DOIs supplied in the source CSV</x:v>
      </x:c>
      <x:c r="B2" s="219"/>
      <x:c r="C2" s="219"/>
      <x:c r="D2" s="219"/>
      <x:c r="E2" s="219"/>
      <x:c r="F2" s="219"/>
    </x:row>
    <x:row r="3">
      <x:c r="A3" s="220"/>
      <x:c r="B3" s="220"/>
      <x:c r="C3" s="220"/>
      <x:c r="D3" s="220"/>
      <x:c r="E3" s="220"/>
      <x:c r="F3" s="220"/>
    </x:row>
    <x:row r="4">
      <x:c r="A4" s="76" t="str">
        <x:v>Metric</x:v>
      </x:c>
      <x:c r="B4" s="76" t="str">
        <x:v>Count</x:v>
      </x:c>
      <x:c r="C4" s="220"/>
      <x:c r="D4" s="221" t="str">
        <x:v>Important identity correction</x:v>
      </x:c>
      <x:c r="E4" s="221"/>
      <x:c r="F4" s="221"/>
    </x:row>
    <x:row r="5">
      <x:c r="A5" s="69" t="str">
        <x:v>CSV author rows</x:v>
      </x:c>
      <x:c r="B5" s="90" t="n">
        <x:f>COUNTA('Authors'!B2:B134)</x:f>
        <x:v>133</x:v>
      </x:c>
      <x:c r="C5" s="220"/>
      <x:c r="D5" s="222" t="str">
        <x:v>Hsieh, Wen-Feng and Hsieh, Weng-Feng were merged as one person. The canonical record is Wen-Feng Hsieh, Professor Emeritus / Retired Professor, Department of Photonics, National Yang Ming Chiao Tung University.</x:v>
      </x:c>
      <x:c r="E5" s="223"/>
      <x:c r="F5" s="224"/>
    </x:row>
    <x:row r="6">
      <x:c r="A6" s="69" t="str">
        <x:v>Verified rows</x:v>
      </x:c>
      <x:c r="B6" s="90" t="n">
        <x:f>COUNTIF('Authors'!E2:E134,"verified")</x:f>
        <x:v>133</x:v>
      </x:c>
      <x:c r="C6" s="220"/>
      <x:c r="D6" s="225"/>
      <x:c r="E6" s="226"/>
      <x:c r="F6" s="227"/>
    </x:row>
    <x:row r="7">
      <x:c r="A7" s="69" t="str">
        <x:v>OpenAlex author pages</x:v>
      </x:c>
      <x:c r="B7" s="90" t="n">
        <x:f>COUNTIF('Authors'!S2:S134,"&lt;&gt;")</x:f>
        <x:v>121</x:v>
      </x:c>
      <x:c r="C7" s="220"/>
      <x:c r="D7" s="225"/>
      <x:c r="E7" s="226"/>
      <x:c r="F7" s="227"/>
    </x:row>
    <x:row r="8">
      <x:c r="A8" s="69" t="str">
        <x:v>ORCID records</x:v>
      </x:c>
      <x:c r="B8" s="90" t="n">
        <x:f>COUNTIF('Authors'!Q2:Q134,"&lt;&gt;")</x:f>
        <x:v>73</x:v>
      </x:c>
      <x:c r="C8" s="220"/>
      <x:c r="D8" s="228"/>
      <x:c r="E8" s="229"/>
      <x:c r="F8" s="230"/>
    </x:row>
    <x:row r="9">
      <x:c r="A9" s="69" t="str">
        <x:v>Google Scholar profiles</x:v>
      </x:c>
      <x:c r="B9" s="90" t="n">
        <x:f>COUNTIF('Authors'!R2:R134,"&lt;&gt;")</x:f>
        <x:v>35</x:v>
      </x:c>
      <x:c r="C9" s="220"/>
      <x:c r="D9" s="220"/>
      <x:c r="E9" s="220"/>
      <x:c r="F9" s="220"/>
    </x:row>
    <x:row r="10">
      <x:c r="A10" s="69" t="str">
        <x:v>Roles/current positions</x:v>
      </x:c>
      <x:c r="B10" s="90" t="n">
        <x:f>COUNTIF('Authors'!L2:L134,"&lt;&gt;")</x:f>
        <x:v>33</x:v>
      </x:c>
      <x:c r="C10" s="220"/>
      <x:c r="D10" s="231" t="str">
        <x:v>Interpretation</x:v>
      </x:c>
      <x:c r="E10" s="231"/>
      <x:c r="F10" s="231"/>
    </x:row>
    <x:row r="11">
      <x:c r="A11" s="69" t="str">
        <x:v>Affiliations</x:v>
      </x:c>
      <x:c r="B11" s="90" t="n">
        <x:f>COUNTIF('Authors'!N2:N134,"&lt;&gt;")</x:f>
        <x:v>133</x:v>
      </x:c>
      <x:c r="C11" s="220"/>
      <x:c r="D11" s="232" t="str">
        <x:v>Google Scholar is populated only with a confirmed personal profile (/citations?user=...). Crossref is blank because it does not provide dependable public author profiles; DOI metadata is still used for verification. Other blank fields mean no sufficiently reliable public value was found.</x:v>
      </x:c>
      <x:c r="E11" s="233"/>
      <x:c r="F11" s="234"/>
    </x:row>
    <x:row r="12">
      <x:c r="A12" s="69" t="str">
        <x:v>Public emails</x:v>
      </x:c>
      <x:c r="B12" s="90" t="n">
        <x:f>COUNTIF('Authors'!O2:O134,"&lt;&gt;")</x:f>
        <x:v>10</x:v>
      </x:c>
      <x:c r="C12" s="220"/>
      <x:c r="D12" s="235"/>
      <x:c r="E12" s="236"/>
      <x:c r="F12" s="237"/>
    </x:row>
    <x:row r="13">
      <x:c r="A13" s="70" t="str">
        <x:v>Merged spelling variants</x:v>
      </x:c>
      <x:c r="B13" s="91" t="n">
        <x:f>COUNTIF('Authors'!H2:H134,"&lt;&gt;")</x:f>
        <x:v>1</x:v>
      </x:c>
      <x:c r="C13" s="220"/>
      <x:c r="D13" s="235"/>
      <x:c r="E13" s="236"/>
      <x:c r="F13" s="237"/>
    </x:row>
    <x:row r="14">
      <x:c r="A14" s="220"/>
      <x:c r="B14" s="220"/>
      <x:c r="C14" s="220"/>
      <x:c r="D14" s="238"/>
      <x:c r="E14" s="239"/>
      <x:c r="F14" s="240"/>
    </x:row>
  </x:sheetData>
  <x:mergeCells>
    <x:mergeCell ref="A1:F1"/>
    <x:mergeCell ref="A2:F2"/>
    <x:mergeCell ref="D4:F4"/>
    <x:mergeCell ref="D5:F8"/>
    <x:mergeCell ref="D10:F10"/>
    <x:mergeCell ref="D11:F14"/>
  </x:mergeCells>
  <x:pageMargins left="0.7" right="0.7" top="0.75" bottom="0.75" header="0.3" footer="0.3"/>
</x:worksheet>
</file>